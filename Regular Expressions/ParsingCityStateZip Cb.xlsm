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!Other\Excel\Class Library\Regular Expressions\"/>
    </mc:Choice>
  </mc:AlternateContent>
  <bookViews>
    <workbookView xWindow="720" yWindow="315" windowWidth="27555" windowHeight="13065"/>
  </bookViews>
  <sheets>
    <sheet name="Sheet1" sheetId="1" r:id="rId1"/>
    <sheet name="Codes" sheetId="2" r:id="rId2"/>
    <sheet name="States US" sheetId="3" r:id="rId3"/>
  </sheets>
  <functionGroups builtInGroupCount="18"/>
  <definedNames>
    <definedName name="codeList" localSheetId="1">OFFSET(firstCode,0,0,MATCH("*",Codes!$B:$B,-1))</definedName>
    <definedName name="exactCodeList" localSheetId="1">OFFSET(firstCode,0,0,MATCH("*",Codes!$B:$B,-1)-ROW(firstCode)+1)</definedName>
    <definedName name="firstCode">Codes!$B$3</definedName>
  </definedNames>
  <calcPr calcId="152511" refMode="R1C1"/>
</workbook>
</file>

<file path=xl/calcChain.xml><?xml version="1.0" encoding="utf-8"?>
<calcChain xmlns="http://schemas.openxmlformats.org/spreadsheetml/2006/main">
  <c r="E29" i="2" l="1" a="1"/>
  <c r="E29" i="2" s="1"/>
  <c r="E3" i="2" a="1"/>
  <c r="E6" i="2" l="1"/>
  <c r="E22" i="2"/>
  <c r="E11" i="2"/>
  <c r="E27" i="2"/>
  <c r="E16" i="2"/>
  <c r="E5" i="2"/>
  <c r="E21" i="2"/>
  <c r="E10" i="2"/>
  <c r="E26" i="2"/>
  <c r="E15" i="2"/>
  <c r="E4" i="2"/>
  <c r="E20" i="2"/>
  <c r="E9" i="2"/>
  <c r="E25" i="2"/>
  <c r="E14" i="2"/>
  <c r="E3" i="2"/>
  <c r="E19" i="2"/>
  <c r="E8" i="2"/>
  <c r="E24" i="2"/>
  <c r="E13" i="2"/>
  <c r="E18" i="2"/>
  <c r="E7" i="2"/>
  <c r="E23" i="2"/>
  <c r="E12" i="2"/>
  <c r="E28" i="2"/>
  <c r="E17" i="2"/>
  <c r="F3" i="2" a="1"/>
  <c r="H3" i="2" l="1"/>
  <c r="L3" i="2"/>
  <c r="P3" i="2"/>
  <c r="T3" i="2"/>
  <c r="X3" i="2"/>
  <c r="AB3" i="2"/>
  <c r="I3" i="2"/>
  <c r="M3" i="2"/>
  <c r="Q3" i="2"/>
  <c r="U3" i="2"/>
  <c r="Y3" i="2"/>
  <c r="AC3" i="2"/>
  <c r="F3" i="2"/>
  <c r="J3" i="2"/>
  <c r="N3" i="2"/>
  <c r="R3" i="2"/>
  <c r="V3" i="2"/>
  <c r="Z3" i="2"/>
  <c r="AD3" i="2"/>
  <c r="G3" i="2"/>
  <c r="K3" i="2"/>
  <c r="O3" i="2"/>
  <c r="S3" i="2"/>
  <c r="W3" i="2"/>
  <c r="AA3" i="2"/>
  <c r="AE3" i="2"/>
  <c r="D28" i="2"/>
  <c r="D23" i="2"/>
  <c r="D24" i="2"/>
  <c r="D25" i="2"/>
  <c r="D26" i="2"/>
  <c r="D27" i="2"/>
  <c r="D6" i="2"/>
  <c r="F28" i="2" a="1"/>
  <c r="F10" i="2" a="1"/>
  <c r="F19" i="2" a="1"/>
  <c r="F18" i="2" a="1"/>
  <c r="F17" i="2" a="1"/>
  <c r="F15" i="2" a="1"/>
  <c r="F12" i="2" a="1"/>
  <c r="F27" i="2" a="1"/>
  <c r="F24" i="2" a="1"/>
  <c r="F5" i="2" a="1"/>
  <c r="F23" i="2" a="1"/>
  <c r="F26" i="2" a="1"/>
  <c r="F7" i="2" a="1"/>
  <c r="F8" i="2" a="1"/>
  <c r="F25" i="2" a="1"/>
  <c r="F6" i="2" a="1"/>
  <c r="F14" i="2" a="1"/>
  <c r="F21" i="2" a="1"/>
  <c r="F9" i="2" a="1"/>
  <c r="F16" i="2" a="1"/>
  <c r="D13" i="2" l="1"/>
  <c r="D20" i="2"/>
  <c r="D4" i="2"/>
  <c r="D11" i="2"/>
  <c r="D22" i="2"/>
  <c r="D12" i="2"/>
  <c r="D14" i="2"/>
  <c r="D17" i="2"/>
  <c r="D15" i="2"/>
  <c r="D7" i="2"/>
  <c r="D9" i="2"/>
  <c r="D16" i="2"/>
  <c r="D18" i="2"/>
  <c r="D21" i="2"/>
  <c r="D5" i="2"/>
  <c r="D3" i="2"/>
  <c r="D19" i="2"/>
  <c r="D8" i="2"/>
  <c r="D10" i="2"/>
  <c r="I24" i="2"/>
  <c r="Y24" i="2"/>
  <c r="N24" i="2"/>
  <c r="AD24" i="2"/>
  <c r="AA24" i="2"/>
  <c r="AE24" i="2"/>
  <c r="K24" i="2"/>
  <c r="Q26" i="2"/>
  <c r="F26" i="2"/>
  <c r="V26" i="2"/>
  <c r="T26" i="2"/>
  <c r="O26" i="2"/>
  <c r="P26" i="2"/>
  <c r="I28" i="2"/>
  <c r="Y28" i="2"/>
  <c r="N28" i="2"/>
  <c r="AD28" i="2"/>
  <c r="P28" i="2"/>
  <c r="O28" i="2"/>
  <c r="X28" i="2"/>
  <c r="Q25" i="2"/>
  <c r="F25" i="2"/>
  <c r="V25" i="2"/>
  <c r="P25" i="2"/>
  <c r="K25" i="2"/>
  <c r="T25" i="2"/>
  <c r="I27" i="2"/>
  <c r="Y27" i="2"/>
  <c r="N27" i="2"/>
  <c r="AD27" i="2"/>
  <c r="L27" i="2"/>
  <c r="K27" i="2"/>
  <c r="O27" i="2"/>
  <c r="Q23" i="2"/>
  <c r="F23" i="2"/>
  <c r="V23" i="2"/>
  <c r="H23" i="2"/>
  <c r="K23" i="2"/>
  <c r="T23" i="2"/>
  <c r="AD17" i="2"/>
  <c r="N17" i="2"/>
  <c r="Y17" i="2"/>
  <c r="AB17" i="2"/>
  <c r="G17" i="2"/>
  <c r="K17" i="2"/>
  <c r="AA17" i="2"/>
  <c r="W9" i="2"/>
  <c r="G9" i="2"/>
  <c r="R9" i="2"/>
  <c r="AB9" i="2"/>
  <c r="Q9" i="2"/>
  <c r="H9" i="2"/>
  <c r="AC16" i="2"/>
  <c r="M16" i="2"/>
  <c r="T16" i="2"/>
  <c r="W16" i="2"/>
  <c r="AD16" i="2"/>
  <c r="P16" i="2"/>
  <c r="V16" i="2"/>
  <c r="U7" i="2"/>
  <c r="AB7" i="2"/>
  <c r="L7" i="2"/>
  <c r="K7" i="2"/>
  <c r="AE7" i="2"/>
  <c r="AD7" i="2"/>
  <c r="AE18" i="2"/>
  <c r="O18" i="2"/>
  <c r="Y18" i="2"/>
  <c r="AB18" i="2"/>
  <c r="F18" i="2"/>
  <c r="Z18" i="2"/>
  <c r="U18" i="2"/>
  <c r="V21" i="2"/>
  <c r="F21" i="2"/>
  <c r="M21" i="2"/>
  <c r="P21" i="2"/>
  <c r="AE21" i="2"/>
  <c r="Q21" i="2"/>
  <c r="AE5" i="2"/>
  <c r="O5" i="2"/>
  <c r="Z5" i="2"/>
  <c r="J5" i="2"/>
  <c r="I5" i="2"/>
  <c r="AB5" i="2"/>
  <c r="P5" i="2"/>
  <c r="V12" i="2"/>
  <c r="F12" i="2"/>
  <c r="P12" i="2"/>
  <c r="Q12" i="2"/>
  <c r="O12" i="2"/>
  <c r="M12" i="2"/>
  <c r="AB19" i="2"/>
  <c r="L19" i="2"/>
  <c r="S19" i="2"/>
  <c r="V19" i="2"/>
  <c r="W19" i="2"/>
  <c r="J19" i="2"/>
  <c r="Z19" i="2"/>
  <c r="W14" i="2"/>
  <c r="P14" i="2"/>
  <c r="X14" i="2"/>
  <c r="F14" i="2"/>
  <c r="AB14" i="2"/>
  <c r="O14" i="2"/>
  <c r="AD8" i="2"/>
  <c r="N8" i="2"/>
  <c r="Y8" i="2"/>
  <c r="I8" i="2"/>
  <c r="AE8" i="2"/>
  <c r="AB8" i="2"/>
  <c r="S8" i="2"/>
  <c r="T15" i="2"/>
  <c r="AE15" i="2"/>
  <c r="J15" i="2"/>
  <c r="M15" i="2"/>
  <c r="V15" i="2"/>
  <c r="I15" i="2"/>
  <c r="AD10" i="2"/>
  <c r="Q24" i="2"/>
  <c r="F24" i="2"/>
  <c r="V24" i="2"/>
  <c r="T24" i="2"/>
  <c r="O24" i="2"/>
  <c r="P24" i="2"/>
  <c r="I26" i="2"/>
  <c r="Y26" i="2"/>
  <c r="N26" i="2"/>
  <c r="AD26" i="2"/>
  <c r="S26" i="2"/>
  <c r="AE26" i="2"/>
  <c r="K26" i="2"/>
  <c r="Q28" i="2"/>
  <c r="F28" i="2"/>
  <c r="V28" i="2"/>
  <c r="T28" i="2"/>
  <c r="AA28" i="2"/>
  <c r="AE28" i="2"/>
  <c r="I25" i="2"/>
  <c r="Y25" i="2"/>
  <c r="N25" i="2"/>
  <c r="AD25" i="2"/>
  <c r="O25" i="2"/>
  <c r="AA25" i="2"/>
  <c r="G25" i="2"/>
  <c r="Q27" i="2"/>
  <c r="F27" i="2"/>
  <c r="V27" i="2"/>
  <c r="P27" i="2"/>
  <c r="G27" i="2"/>
  <c r="AA27" i="2"/>
  <c r="I23" i="2"/>
  <c r="Y23" i="2"/>
  <c r="N23" i="2"/>
  <c r="AD23" i="2"/>
  <c r="X23" i="2"/>
  <c r="AA23" i="2"/>
  <c r="O23" i="2"/>
  <c r="V17" i="2"/>
  <c r="F17" i="2"/>
  <c r="O17" i="2"/>
  <c r="Q17" i="2"/>
  <c r="M17" i="2"/>
  <c r="S17" i="2"/>
  <c r="AE9" i="2"/>
  <c r="O9" i="2"/>
  <c r="Z9" i="2"/>
  <c r="J9" i="2"/>
  <c r="L9" i="2"/>
  <c r="X9" i="2"/>
  <c r="U9" i="2"/>
  <c r="U16" i="2"/>
  <c r="AE16" i="2"/>
  <c r="J16" i="2"/>
  <c r="L16" i="2"/>
  <c r="H16" i="2"/>
  <c r="X16" i="2"/>
  <c r="AC7" i="2"/>
  <c r="M7" i="2"/>
  <c r="T7" i="2"/>
  <c r="AA7" i="2"/>
  <c r="R7" i="2"/>
  <c r="O7" i="2"/>
  <c r="N7" i="2"/>
  <c r="W18" i="2"/>
  <c r="G18" i="2"/>
  <c r="N18" i="2"/>
  <c r="Q18" i="2"/>
  <c r="R18" i="2"/>
  <c r="X18" i="2"/>
  <c r="AD21" i="2"/>
  <c r="N21" i="2"/>
  <c r="X21" i="2"/>
  <c r="AA21" i="2"/>
  <c r="W21" i="2"/>
  <c r="I21" i="2"/>
  <c r="Y21" i="2"/>
  <c r="W5" i="2"/>
  <c r="G5" i="2"/>
  <c r="R5" i="2"/>
  <c r="Y5" i="2"/>
  <c r="U5" i="2"/>
  <c r="L5" i="2"/>
  <c r="AD12" i="2"/>
  <c r="N12" i="2"/>
  <c r="X12" i="2"/>
  <c r="H12" i="2"/>
  <c r="AE12" i="2"/>
  <c r="AC12" i="2"/>
  <c r="K12" i="2"/>
  <c r="T19" i="2"/>
  <c r="AD19" i="2"/>
  <c r="I19" i="2"/>
  <c r="K19" i="2"/>
  <c r="AE19" i="2"/>
  <c r="R19" i="2"/>
  <c r="AE14" i="2"/>
  <c r="Z14" i="2"/>
  <c r="H14" i="2"/>
  <c r="N14" i="2"/>
  <c r="T14" i="2"/>
  <c r="I14" i="2"/>
  <c r="V14" i="2"/>
  <c r="V8" i="2"/>
  <c r="F8" i="2"/>
  <c r="Q8" i="2"/>
  <c r="P8" i="2"/>
  <c r="O8" i="2"/>
  <c r="L8" i="2"/>
  <c r="AB15" i="2"/>
  <c r="L15" i="2"/>
  <c r="U15" i="2"/>
  <c r="W15" i="2"/>
  <c r="Y15" i="2"/>
  <c r="AD15" i="2"/>
  <c r="F15" i="2"/>
  <c r="V10" i="2"/>
  <c r="F10" i="2"/>
  <c r="O10" i="2"/>
  <c r="S10" i="2"/>
  <c r="K10" i="2"/>
  <c r="AA10" i="2"/>
  <c r="AB6" i="2"/>
  <c r="L6" i="2"/>
  <c r="W6" i="2"/>
  <c r="G6" i="2"/>
  <c r="M24" i="2"/>
  <c r="R24" i="2"/>
  <c r="G24" i="2"/>
  <c r="S24" i="2"/>
  <c r="J26" i="2"/>
  <c r="AB26" i="2"/>
  <c r="X26" i="2"/>
  <c r="AC28" i="2"/>
  <c r="L28" i="2"/>
  <c r="W28" i="2"/>
  <c r="U25" i="2"/>
  <c r="Z25" i="2"/>
  <c r="S25" i="2"/>
  <c r="M27" i="2"/>
  <c r="R27" i="2"/>
  <c r="AB27" i="2"/>
  <c r="AE27" i="2"/>
  <c r="J23" i="2"/>
  <c r="P23" i="2"/>
  <c r="AB23" i="2"/>
  <c r="J17" i="2"/>
  <c r="W17" i="2"/>
  <c r="AC17" i="2"/>
  <c r="S9" i="2"/>
  <c r="N9" i="2"/>
  <c r="I9" i="2"/>
  <c r="Y16" i="2"/>
  <c r="O16" i="2"/>
  <c r="S16" i="2"/>
  <c r="K16" i="2"/>
  <c r="X7" i="2"/>
  <c r="Z7" i="2"/>
  <c r="V7" i="2"/>
  <c r="K18" i="2"/>
  <c r="V18" i="2"/>
  <c r="P18" i="2"/>
  <c r="R21" i="2"/>
  <c r="H21" i="2"/>
  <c r="T21" i="2"/>
  <c r="AA5" i="2"/>
  <c r="V5" i="2"/>
  <c r="AC5" i="2"/>
  <c r="H5" i="2"/>
  <c r="AB12" i="2"/>
  <c r="I12" i="2"/>
  <c r="S12" i="2"/>
  <c r="H19" i="2"/>
  <c r="Q19" i="2"/>
  <c r="AC19" i="2"/>
  <c r="S14" i="2"/>
  <c r="R14" i="2"/>
  <c r="Q14" i="2"/>
  <c r="Z8" i="2"/>
  <c r="U8" i="2"/>
  <c r="W8" i="2"/>
  <c r="K8" i="2"/>
  <c r="Z15" i="2"/>
  <c r="G15" i="2"/>
  <c r="Q15" i="2"/>
  <c r="N10" i="2"/>
  <c r="T10" i="2"/>
  <c r="M10" i="2"/>
  <c r="Q10" i="2"/>
  <c r="L10" i="2"/>
  <c r="H6" i="2"/>
  <c r="O6" i="2"/>
  <c r="N6" i="2"/>
  <c r="M6" i="2"/>
  <c r="Y6" i="2"/>
  <c r="L25" i="2"/>
  <c r="Z27" i="2"/>
  <c r="W27" i="2"/>
  <c r="M23" i="2"/>
  <c r="R23" i="2"/>
  <c r="W23" i="2"/>
  <c r="AE23" i="2"/>
  <c r="AE17" i="2"/>
  <c r="L17" i="2"/>
  <c r="H17" i="2"/>
  <c r="K9" i="2"/>
  <c r="F9" i="2"/>
  <c r="P9" i="2"/>
  <c r="Q16" i="2"/>
  <c r="AB16" i="2"/>
  <c r="AA16" i="2"/>
  <c r="Y7" i="2"/>
  <c r="P7" i="2"/>
  <c r="J7" i="2"/>
  <c r="F7" i="2"/>
  <c r="AD18" i="2"/>
  <c r="L18" i="2"/>
  <c r="M18" i="2"/>
  <c r="J21" i="2"/>
  <c r="U21" i="2"/>
  <c r="AB21" i="2"/>
  <c r="S5" i="2"/>
  <c r="N5" i="2"/>
  <c r="M5" i="2"/>
  <c r="Z12" i="2"/>
  <c r="T12" i="2"/>
  <c r="W12" i="2"/>
  <c r="AA12" i="2"/>
  <c r="Y19" i="2"/>
  <c r="F19" i="2"/>
  <c r="G19" i="2"/>
  <c r="U14" i="2"/>
  <c r="J14" i="2"/>
  <c r="Y14" i="2"/>
  <c r="R8" i="2"/>
  <c r="M8" i="2"/>
  <c r="G8" i="2"/>
  <c r="X15" i="2"/>
  <c r="O15" i="2"/>
  <c r="N15" i="2"/>
  <c r="AA15" i="2"/>
  <c r="J10" i="2"/>
  <c r="I10" i="2"/>
  <c r="H10" i="2"/>
  <c r="G10" i="2"/>
  <c r="X6" i="2"/>
  <c r="U24" i="2"/>
  <c r="Z24" i="2"/>
  <c r="W24" i="2"/>
  <c r="M26" i="2"/>
  <c r="R26" i="2"/>
  <c r="G26" i="2"/>
  <c r="AA26" i="2"/>
  <c r="J28" i="2"/>
  <c r="AB28" i="2"/>
  <c r="H28" i="2"/>
  <c r="AC25" i="2"/>
  <c r="H25" i="2"/>
  <c r="U27" i="2"/>
  <c r="AC24" i="2"/>
  <c r="H24" i="2"/>
  <c r="Z26" i="2"/>
  <c r="M28" i="2"/>
  <c r="K28" i="2"/>
  <c r="J25" i="2"/>
  <c r="AB25" i="2"/>
  <c r="H27" i="2"/>
  <c r="U23" i="2"/>
  <c r="S23" i="2"/>
  <c r="T17" i="2"/>
  <c r="P17" i="2"/>
  <c r="T9" i="2"/>
  <c r="I16" i="2"/>
  <c r="F16" i="2"/>
  <c r="H7" i="2"/>
  <c r="AA18" i="2"/>
  <c r="AC18" i="2"/>
  <c r="AC21" i="2"/>
  <c r="G21" i="2"/>
  <c r="F5" i="2"/>
  <c r="R12" i="2"/>
  <c r="G12" i="2"/>
  <c r="N19" i="2"/>
  <c r="O19" i="2"/>
  <c r="AD14" i="2"/>
  <c r="J8" i="2"/>
  <c r="T8" i="2"/>
  <c r="AC15" i="2"/>
  <c r="Z10" i="2"/>
  <c r="AC10" i="2"/>
  <c r="P10" i="2"/>
  <c r="AE6" i="2"/>
  <c r="AD6" i="2"/>
  <c r="U6" i="2"/>
  <c r="Q6" i="2"/>
  <c r="J24" i="2"/>
  <c r="X24" i="2"/>
  <c r="L26" i="2"/>
  <c r="U28" i="2"/>
  <c r="G28" i="2"/>
  <c r="R25" i="2"/>
  <c r="W25" i="2"/>
  <c r="X27" i="2"/>
  <c r="AC23" i="2"/>
  <c r="L23" i="2"/>
  <c r="I17" i="2"/>
  <c r="AA9" i="2"/>
  <c r="Y9" i="2"/>
  <c r="Z16" i="2"/>
  <c r="N16" i="2"/>
  <c r="S7" i="2"/>
  <c r="S18" i="2"/>
  <c r="H18" i="2"/>
  <c r="S21" i="2"/>
  <c r="O21" i="2"/>
  <c r="Q5" i="2"/>
  <c r="J12" i="2"/>
  <c r="U12" i="2"/>
  <c r="AA19" i="2"/>
  <c r="AA14" i="2"/>
  <c r="K14" i="2"/>
  <c r="AC8" i="2"/>
  <c r="AA8" i="2"/>
  <c r="R15" i="2"/>
  <c r="R10" i="2"/>
  <c r="X10" i="2"/>
  <c r="W10" i="2"/>
  <c r="AA6" i="2"/>
  <c r="V6" i="2"/>
  <c r="Z6" i="2"/>
  <c r="I6" i="2"/>
  <c r="L24" i="2"/>
  <c r="U26" i="2"/>
  <c r="W26" i="2"/>
  <c r="R28" i="2"/>
  <c r="S28" i="2"/>
  <c r="X25" i="2"/>
  <c r="AC27" i="2"/>
  <c r="S27" i="2"/>
  <c r="Z23" i="2"/>
  <c r="Z17" i="2"/>
  <c r="X17" i="2"/>
  <c r="AD9" i="2"/>
  <c r="AC9" i="2"/>
  <c r="R16" i="2"/>
  <c r="Q7" i="2"/>
  <c r="W7" i="2"/>
  <c r="T18" i="2"/>
  <c r="J18" i="2"/>
  <c r="K21" i="2"/>
  <c r="K5" i="2"/>
  <c r="T5" i="2"/>
  <c r="L12" i="2"/>
  <c r="X19" i="2"/>
  <c r="M19" i="2"/>
  <c r="L14" i="2"/>
  <c r="G14" i="2"/>
  <c r="X8" i="2"/>
  <c r="P15" i="2"/>
  <c r="K15" i="2"/>
  <c r="AE10" i="2"/>
  <c r="U10" i="2"/>
  <c r="T6" i="2"/>
  <c r="S6" i="2"/>
  <c r="F6" i="2"/>
  <c r="R6" i="2"/>
  <c r="AB24" i="2"/>
  <c r="AC26" i="2"/>
  <c r="H26" i="2"/>
  <c r="Z28" i="2"/>
  <c r="M25" i="2"/>
  <c r="AE25" i="2"/>
  <c r="J27" i="2"/>
  <c r="T27" i="2"/>
  <c r="G23" i="2"/>
  <c r="R17" i="2"/>
  <c r="U17" i="2"/>
  <c r="V9" i="2"/>
  <c r="M9" i="2"/>
  <c r="G16" i="2"/>
  <c r="I7" i="2"/>
  <c r="G7" i="2"/>
  <c r="I18" i="2"/>
  <c r="Z21" i="2"/>
  <c r="L21" i="2"/>
  <c r="AD5" i="2"/>
  <c r="X5" i="2"/>
  <c r="Y12" i="2"/>
  <c r="P19" i="2"/>
  <c r="U19" i="2"/>
  <c r="AC14" i="2"/>
  <c r="M14" i="2"/>
  <c r="H8" i="2"/>
  <c r="H15" i="2"/>
  <c r="S15" i="2"/>
  <c r="Y10" i="2"/>
  <c r="AB10" i="2"/>
  <c r="P6" i="2"/>
  <c r="K6" i="2"/>
  <c r="AC6" i="2"/>
  <c r="J6" i="2"/>
  <c r="AG9" i="2"/>
  <c r="AG21" i="2"/>
  <c r="AG12" i="2"/>
  <c r="AG7" i="2"/>
  <c r="F11" i="2" a="1"/>
  <c r="AG28" i="2"/>
  <c r="AG18" i="2"/>
  <c r="AG16" i="2"/>
  <c r="AG10" i="2"/>
  <c r="AG15" i="2"/>
  <c r="AG26" i="2"/>
  <c r="F13" i="2" a="1"/>
  <c r="F4" i="2" a="1"/>
  <c r="AG24" i="2"/>
  <c r="AG25" i="2"/>
  <c r="F22" i="2" a="1"/>
  <c r="AG8" i="2"/>
  <c r="AG5" i="2"/>
  <c r="AG6" i="2"/>
  <c r="AG17" i="2"/>
  <c r="AG27" i="2"/>
  <c r="AG23" i="2"/>
  <c r="F20" i="2" a="1"/>
  <c r="AG19" i="2"/>
  <c r="AG3" i="2"/>
  <c r="AG14" i="2"/>
  <c r="U20" i="2" l="1"/>
  <c r="G20" i="2"/>
  <c r="R20" i="2"/>
  <c r="Q20" i="2"/>
  <c r="Z20" i="2"/>
  <c r="M20" i="2"/>
  <c r="O20" i="2"/>
  <c r="P20" i="2"/>
  <c r="H20" i="2"/>
  <c r="I20" i="2"/>
  <c r="AA20" i="2"/>
  <c r="V20" i="2"/>
  <c r="K20" i="2"/>
  <c r="N20" i="2"/>
  <c r="F20" i="2"/>
  <c r="AC20" i="2"/>
  <c r="AB20" i="2"/>
  <c r="Y20" i="2"/>
  <c r="AD20" i="2"/>
  <c r="L20" i="2"/>
  <c r="T20" i="2"/>
  <c r="X20" i="2"/>
  <c r="J20" i="2"/>
  <c r="S20" i="2"/>
  <c r="AE20" i="2"/>
  <c r="W20" i="2"/>
  <c r="Y22" i="2"/>
  <c r="AB22" i="2"/>
  <c r="L22" i="2"/>
  <c r="J22" i="2"/>
  <c r="U22" i="2"/>
  <c r="Q22" i="2"/>
  <c r="AE22" i="2"/>
  <c r="AD22" i="2"/>
  <c r="V22" i="2"/>
  <c r="S22" i="2"/>
  <c r="AA22" i="2"/>
  <c r="W22" i="2"/>
  <c r="AC22" i="2"/>
  <c r="O22" i="2"/>
  <c r="X22" i="2"/>
  <c r="H22" i="2"/>
  <c r="M22" i="2"/>
  <c r="K22" i="2"/>
  <c r="G22" i="2"/>
  <c r="T22" i="2"/>
  <c r="F22" i="2"/>
  <c r="I22" i="2"/>
  <c r="P22" i="2"/>
  <c r="Z22" i="2"/>
  <c r="R22" i="2"/>
  <c r="N22" i="2"/>
  <c r="T4" i="2"/>
  <c r="L4" i="2"/>
  <c r="P4" i="2"/>
  <c r="AD4" i="2"/>
  <c r="X4" i="2"/>
  <c r="J4" i="2"/>
  <c r="F4" i="2"/>
  <c r="G4" i="2"/>
  <c r="AC4" i="2"/>
  <c r="AA4" i="2"/>
  <c r="Z4" i="2"/>
  <c r="U4" i="2"/>
  <c r="Y4" i="2"/>
  <c r="S4" i="2"/>
  <c r="Q4" i="2"/>
  <c r="M4" i="2"/>
  <c r="AB4" i="2"/>
  <c r="K4" i="2"/>
  <c r="I4" i="2"/>
  <c r="V4" i="2"/>
  <c r="H4" i="2"/>
  <c r="R4" i="2"/>
  <c r="AE4" i="2"/>
  <c r="N4" i="2"/>
  <c r="W4" i="2"/>
  <c r="O4" i="2"/>
  <c r="O13" i="2"/>
  <c r="Z13" i="2"/>
  <c r="K13" i="2"/>
  <c r="R13" i="2"/>
  <c r="T13" i="2"/>
  <c r="X13" i="2"/>
  <c r="N13" i="2"/>
  <c r="V13" i="2"/>
  <c r="I13" i="2"/>
  <c r="AD13" i="2"/>
  <c r="G13" i="2"/>
  <c r="AC13" i="2"/>
  <c r="M13" i="2"/>
  <c r="AE13" i="2"/>
  <c r="F13" i="2"/>
  <c r="AA13" i="2"/>
  <c r="AB13" i="2"/>
  <c r="Q13" i="2"/>
  <c r="L13" i="2"/>
  <c r="W13" i="2"/>
  <c r="Y13" i="2"/>
  <c r="P13" i="2"/>
  <c r="U13" i="2"/>
  <c r="H13" i="2"/>
  <c r="S13" i="2"/>
  <c r="J13" i="2"/>
  <c r="G11" i="2"/>
  <c r="V11" i="2"/>
  <c r="AB11" i="2"/>
  <c r="T11" i="2"/>
  <c r="M11" i="2"/>
  <c r="F11" i="2"/>
  <c r="AA11" i="2"/>
  <c r="I11" i="2"/>
  <c r="P11" i="2"/>
  <c r="AE11" i="2"/>
  <c r="AD11" i="2"/>
  <c r="L11" i="2"/>
  <c r="W11" i="2"/>
  <c r="X11" i="2"/>
  <c r="K11" i="2"/>
  <c r="S11" i="2"/>
  <c r="H11" i="2"/>
  <c r="O11" i="2"/>
  <c r="AC11" i="2"/>
  <c r="Z11" i="2"/>
  <c r="Q11" i="2"/>
  <c r="N11" i="2"/>
  <c r="Y11" i="2"/>
  <c r="R11" i="2"/>
  <c r="U11" i="2"/>
  <c r="J11" i="2"/>
  <c r="AG20" i="2"/>
  <c r="AG22" i="2"/>
  <c r="AG11" i="2"/>
  <c r="AG4" i="2"/>
  <c r="AG13" i="2"/>
</calcChain>
</file>

<file path=xl/sharedStrings.xml><?xml version="1.0" encoding="utf-8"?>
<sst xmlns="http://schemas.openxmlformats.org/spreadsheetml/2006/main" count="981" uniqueCount="556">
  <si>
    <t>Name</t>
  </si>
  <si>
    <t>Address</t>
  </si>
  <si>
    <t>City</t>
  </si>
  <si>
    <t>State</t>
  </si>
  <si>
    <t>Zip Code</t>
  </si>
  <si>
    <t>Phone Number</t>
  </si>
  <si>
    <t>1(800) Number</t>
  </si>
  <si>
    <t>Fax Number</t>
  </si>
  <si>
    <t>Contact</t>
  </si>
  <si>
    <t>18321 Forest Road, Suite B</t>
  </si>
  <si>
    <t>Lynchburg, VA 24502</t>
  </si>
  <si>
    <t>(434) 363-4180</t>
  </si>
  <si>
    <t>Brett Howell</t>
  </si>
  <si>
    <t>The Design Group</t>
  </si>
  <si>
    <t>311 Rivermont Avenue</t>
  </si>
  <si>
    <t>Lynchburg, VA 24503</t>
  </si>
  <si>
    <t>(434) 847-0939</t>
  </si>
  <si>
    <t>Nancy Marion</t>
  </si>
  <si>
    <t>Blair Marketing</t>
  </si>
  <si>
    <t>2309 Atherholt Road</t>
  </si>
  <si>
    <t>Lynchburg, VA 24501</t>
  </si>
  <si>
    <t>(434) 846-2375</t>
  </si>
  <si>
    <t>Kip Smith</t>
  </si>
  <si>
    <t>ProfitFindersUSA</t>
  </si>
  <si>
    <t>Bedford, VA</t>
  </si>
  <si>
    <t>(540) 427-6187</t>
  </si>
  <si>
    <t>Gary Onks</t>
  </si>
  <si>
    <t>Lamar Advertising Company</t>
  </si>
  <si>
    <t>3831 Old Forest Road Suite 6</t>
  </si>
  <si>
    <t>(434) 385-4524</t>
  </si>
  <si>
    <t>(800) 788-3009</t>
  </si>
  <si>
    <t>Mark Snowden</t>
  </si>
  <si>
    <t>Your Message Board - Published by P.C. Corporation</t>
  </si>
  <si>
    <t>1065 Airport Road, Suite H</t>
  </si>
  <si>
    <t>(434) 237-3344</t>
  </si>
  <si>
    <t>(800) 882-8418</t>
  </si>
  <si>
    <t>Raymond Vallorani</t>
  </si>
  <si>
    <t>1035 Avalon Drive</t>
  </si>
  <si>
    <t>Forest, VA 24551</t>
  </si>
  <si>
    <t>(434) 846-2333</t>
  </si>
  <si>
    <t>Josh Oppenheimer</t>
  </si>
  <si>
    <t>1117 Church Street</t>
  </si>
  <si>
    <t>Lynchburg, VA 24504</t>
  </si>
  <si>
    <t>(434) 845-0977</t>
  </si>
  <si>
    <t>J. Taylor Thornhill</t>
  </si>
  <si>
    <t>2250 Murrell Road, Suite C</t>
  </si>
  <si>
    <t>(434) 528-8828</t>
  </si>
  <si>
    <t>(877) 509-1158</t>
  </si>
  <si>
    <t>Joe Scoville</t>
  </si>
  <si>
    <t>Appomattox, VA</t>
  </si>
  <si>
    <t>(434) 660-5550</t>
  </si>
  <si>
    <t>12130 E Lynchburg Salem Turnpike, #7</t>
  </si>
  <si>
    <t>(434) 528-3073</t>
  </si>
  <si>
    <t>(800) 777-1251</t>
  </si>
  <si>
    <t>Jim McCabe</t>
  </si>
  <si>
    <t>Comcast Spotlight</t>
  </si>
  <si>
    <t>7331 Timberlake Road Suite 201A</t>
  </si>
  <si>
    <t>(434) 237-6600</t>
  </si>
  <si>
    <t>Keely Scott</t>
  </si>
  <si>
    <t>Referral Institute of SWVA</t>
  </si>
  <si>
    <t>Roanoke, VA</t>
  </si>
  <si>
    <t>(540) 204-7569</t>
  </si>
  <si>
    <t>Paula Frazier</t>
  </si>
  <si>
    <t>BNI of SWVA</t>
  </si>
  <si>
    <t>(540) 815-9079</t>
  </si>
  <si>
    <t>Neal Frazier</t>
  </si>
  <si>
    <t>Innovative Faith Resources</t>
  </si>
  <si>
    <t>1022 Commerce Street, Suite 3E</t>
  </si>
  <si>
    <t>(804) 665-1448</t>
  </si>
  <si>
    <t>Brandon Pickett</t>
  </si>
  <si>
    <t>Carrot Creates</t>
  </si>
  <si>
    <t>1023 Commerce Street, Suite C</t>
  </si>
  <si>
    <t>(434) 200-0576</t>
  </si>
  <si>
    <t>Jennifer Slightham</t>
  </si>
  <si>
    <t>The News &amp; Advance</t>
  </si>
  <si>
    <t>101 Wyndale Drive</t>
  </si>
  <si>
    <t>(434) 385-5400</t>
  </si>
  <si>
    <t>Alton Brown</t>
  </si>
  <si>
    <t>The Amherst New Era-Progress</t>
  </si>
  <si>
    <t>134 Second Street</t>
  </si>
  <si>
    <t>Amherst, VA 24521</t>
  </si>
  <si>
    <t>(434) 946-7195</t>
  </si>
  <si>
    <t>Dean Smith</t>
  </si>
  <si>
    <t>Nelson County Times</t>
  </si>
  <si>
    <t>The Burg</t>
  </si>
  <si>
    <t>(434) 385-5450</t>
  </si>
  <si>
    <t>Casey Gillis</t>
  </si>
  <si>
    <t>BMS Direct</t>
  </si>
  <si>
    <t>James LaPrade, Sr.</t>
  </si>
  <si>
    <t>(434) 239-2684</t>
  </si>
  <si>
    <t>(866) 816-2378</t>
  </si>
  <si>
    <t>37 Millrace Drive</t>
  </si>
  <si>
    <t>Progress Printing Plus</t>
  </si>
  <si>
    <t>2677 Waterlick Road</t>
  </si>
  <si>
    <t>(434) 239-9213</t>
  </si>
  <si>
    <t>(800) 572-7804</t>
  </si>
  <si>
    <t>Nita Gaddy</t>
  </si>
  <si>
    <t>Chocklett Press</t>
  </si>
  <si>
    <t>2922 Nicholas Ave., NE</t>
  </si>
  <si>
    <t>Roanoke, VA 24012</t>
  </si>
  <si>
    <t>(800) 533-4146</t>
  </si>
  <si>
    <t>Bob Chase</t>
  </si>
  <si>
    <t>RR Donnelley</t>
  </si>
  <si>
    <t>4201 Murray Place</t>
  </si>
  <si>
    <t>(434) 522-7400</t>
  </si>
  <si>
    <t>Robert Leveque</t>
  </si>
  <si>
    <t>CRI Digital Impressions</t>
  </si>
  <si>
    <t>(434) 845-1203</t>
  </si>
  <si>
    <t>Patrick Donahue</t>
  </si>
  <si>
    <t>PIP Printing and Marketing Services</t>
  </si>
  <si>
    <t>1709 Memorial Avenue</t>
  </si>
  <si>
    <t>(434) 845-1153</t>
  </si>
  <si>
    <t>Lynda Criswell</t>
  </si>
  <si>
    <t>Sir Speedy Printing Center</t>
  </si>
  <si>
    <t>258 Oakley Avenue</t>
  </si>
  <si>
    <t>(434) 847-0931</t>
  </si>
  <si>
    <t>David Cundiff</t>
  </si>
  <si>
    <t>Seniors Guide</t>
  </si>
  <si>
    <t>2332 Ridge Road</t>
  </si>
  <si>
    <t>Danville, VA 24540</t>
  </si>
  <si>
    <t>(540) 676-5972</t>
  </si>
  <si>
    <t>Crystal Hendley</t>
  </si>
  <si>
    <t>Prototype Media LLC</t>
  </si>
  <si>
    <t>1264 Perimeter Parkway</t>
  </si>
  <si>
    <t>Virginia Beach, VA 23454</t>
  </si>
  <si>
    <t>(757) 422-8979</t>
  </si>
  <si>
    <t>Paul Brannock</t>
  </si>
  <si>
    <t>Our Health Magazine</t>
  </si>
  <si>
    <t>303 S. Colorado</t>
  </si>
  <si>
    <t>Salem, VA 24153</t>
  </si>
  <si>
    <t>(540) 387-6482</t>
  </si>
  <si>
    <t>Cindy Trujillo</t>
  </si>
  <si>
    <t>HOME Magazine</t>
  </si>
  <si>
    <t>(434) 386-5667</t>
  </si>
  <si>
    <t>Julie Pierce</t>
  </si>
  <si>
    <t>UniFirst Corporation</t>
  </si>
  <si>
    <t>3114 Odd Fellows Road</t>
  </si>
  <si>
    <t>(434) 528-4462</t>
  </si>
  <si>
    <t>(800) 467-5518</t>
  </si>
  <si>
    <t>Todd Whaley</t>
  </si>
  <si>
    <t>4026 Wards Road</t>
  </si>
  <si>
    <t>Altavista, VA 24517</t>
  </si>
  <si>
    <t>(434) 309-2255</t>
  </si>
  <si>
    <t>Bryan Shelton</t>
  </si>
  <si>
    <t>I. H. McBride Sign Co., Inc.</t>
  </si>
  <si>
    <t>5493 S. Amherst Highway</t>
  </si>
  <si>
    <t>Madison Heights, VA 24572</t>
  </si>
  <si>
    <t>(434) 847-4151</t>
  </si>
  <si>
    <t>Tony McBride</t>
  </si>
  <si>
    <t>Life Focus Pictures</t>
  </si>
  <si>
    <t>Forest, VA</t>
  </si>
  <si>
    <t> (434) 515-1325</t>
  </si>
  <si>
    <t> LaShonda Delivuk</t>
  </si>
  <si>
    <t>Employer Advantage Health Care Solutions</t>
  </si>
  <si>
    <t>1725 Medical Center Pkwy, Suite 220</t>
  </si>
  <si>
    <t>Murfreesboro, TN 37129 </t>
  </si>
  <si>
    <t xml:space="preserve"> (607) 727-4462 </t>
  </si>
  <si>
    <t xml:space="preserve"> (888) 959-3171 </t>
  </si>
  <si>
    <t xml:space="preserve"> fax: (607) 687-0448</t>
  </si>
  <si>
    <t> Jed Constantz</t>
  </si>
  <si>
    <t>Absolute Adz</t>
  </si>
  <si>
    <t>Forest, VA 24551 </t>
  </si>
  <si>
    <t> (434) 426-0347</t>
  </si>
  <si>
    <t> Tina Joyce</t>
  </si>
  <si>
    <t>Mary Kay - Kristiana McElroy</t>
  </si>
  <si>
    <t>1765 Airport Road</t>
  </si>
  <si>
    <t>Lynchburg, VA 24502 </t>
  </si>
  <si>
    <t> (772) 233-7135</t>
  </si>
  <si>
    <t> Kristiana McElroy</t>
  </si>
  <si>
    <t>Westover Dairy</t>
  </si>
  <si>
    <t>2801 Fort Avenue</t>
  </si>
  <si>
    <t>Lynchburg, VA 24501 </t>
  </si>
  <si>
    <t xml:space="preserve"> (434) 528-2560 </t>
  </si>
  <si>
    <t xml:space="preserve"> (800) 666-9722 </t>
  </si>
  <si>
    <t xml:space="preserve"> fax: (434) 528-2590</t>
  </si>
  <si>
    <t> Wendy Cheatham</t>
  </si>
  <si>
    <t>Mead Lake Lodge Event &amp; Conference Center</t>
  </si>
  <si>
    <t>1225 Campbell Highway</t>
  </si>
  <si>
    <t>Rustburg, VA 24588</t>
  </si>
  <si>
    <t>(434) 332-3963</t>
  </si>
  <si>
    <t>Carla Bruce</t>
  </si>
  <si>
    <t>Synergy Marketing &amp; Design</t>
  </si>
  <si>
    <t>Prototype Advertising</t>
  </si>
  <si>
    <t>Thornhill Sales Company</t>
  </si>
  <si>
    <t>Scoville Specialties</t>
  </si>
  <si>
    <t>Sayre Enterprises</t>
  </si>
  <si>
    <t>WDBJ Television</t>
  </si>
  <si>
    <t>VistaGraphics</t>
  </si>
  <si>
    <t>Creative Edge Design</t>
  </si>
  <si>
    <t>Region</t>
  </si>
  <si>
    <t>Codes</t>
  </si>
  <si>
    <t>Abbreviations</t>
  </si>
  <si>
    <t>Status</t>
  </si>
  <si>
    <t>ISO[1]</t>
  </si>
  <si>
    <t>ANSI[2]</t>
  </si>
  <si>
    <t>ANSI[3]</t>
  </si>
  <si>
    <t>USPS[4]</t>
  </si>
  <si>
    <t>USCG[5]</t>
  </si>
  <si>
    <t>Old GPO</t>
  </si>
  <si>
    <t>AP[6]</t>
  </si>
  <si>
    <t>Other</t>
  </si>
  <si>
    <t>United States</t>
  </si>
  <si>
    <t>Federal state</t>
  </si>
  <si>
    <t>US</t>
  </si>
  <si>
    <t>USA</t>
  </si>
  <si>
    <t>U.S.</t>
  </si>
  <si>
    <t>U.S.A.</t>
  </si>
  <si>
    <t>Alabama</t>
  </si>
  <si>
    <t>US-AL</t>
  </si>
  <si>
    <t>AL</t>
  </si>
  <si>
    <t>Ala.</t>
  </si>
  <si>
    <t>Alaska</t>
  </si>
  <si>
    <t>US-AK</t>
  </si>
  <si>
    <t>AK</t>
  </si>
  <si>
    <t>Alas.</t>
  </si>
  <si>
    <t>Arizona</t>
  </si>
  <si>
    <t>US-AZ</t>
  </si>
  <si>
    <t>AZ</t>
  </si>
  <si>
    <t>Ariz.</t>
  </si>
  <si>
    <t>Az.</t>
  </si>
  <si>
    <t>Arkansas</t>
  </si>
  <si>
    <t>US-AR</t>
  </si>
  <si>
    <t>AR</t>
  </si>
  <si>
    <t>Ark.</t>
  </si>
  <si>
    <t>California</t>
  </si>
  <si>
    <t>US-CA</t>
  </si>
  <si>
    <t>CA</t>
  </si>
  <si>
    <t>CF</t>
  </si>
  <si>
    <t>Calif.</t>
  </si>
  <si>
    <t>Ca., Cal.</t>
  </si>
  <si>
    <t>Colorado</t>
  </si>
  <si>
    <t>US-CO</t>
  </si>
  <si>
    <t>CO</t>
  </si>
  <si>
    <t>CL</t>
  </si>
  <si>
    <t>Colo.</t>
  </si>
  <si>
    <t>Col.</t>
  </si>
  <si>
    <t>Connecticut</t>
  </si>
  <si>
    <t>US-CT</t>
  </si>
  <si>
    <t>CT</t>
  </si>
  <si>
    <t>Conn.</t>
  </si>
  <si>
    <t>Ct.</t>
  </si>
  <si>
    <t>Delaware</t>
  </si>
  <si>
    <t>US-DE</t>
  </si>
  <si>
    <t>DE</t>
  </si>
  <si>
    <t>DL</t>
  </si>
  <si>
    <t>Del.</t>
  </si>
  <si>
    <t>De.</t>
  </si>
  <si>
    <t>District of Columbia</t>
  </si>
  <si>
    <t>Federal district</t>
  </si>
  <si>
    <t>US-DC</t>
  </si>
  <si>
    <t>DC</t>
  </si>
  <si>
    <t>D.C.</t>
  </si>
  <si>
    <t>Wash. D.C.</t>
  </si>
  <si>
    <t>Florida</t>
  </si>
  <si>
    <t>US-FL</t>
  </si>
  <si>
    <t>FL</t>
  </si>
  <si>
    <t>Fla.</t>
  </si>
  <si>
    <t>Fl., Flor.</t>
  </si>
  <si>
    <t>Georgia</t>
  </si>
  <si>
    <t>US-GA</t>
  </si>
  <si>
    <t>GA</t>
  </si>
  <si>
    <t>Ga.</t>
  </si>
  <si>
    <t>Hawaii</t>
  </si>
  <si>
    <t>US-HI</t>
  </si>
  <si>
    <t>HI</t>
  </si>
  <si>
    <t>HA</t>
  </si>
  <si>
    <t>H.I.</t>
  </si>
  <si>
    <t>Idaho</t>
  </si>
  <si>
    <t>US-ID</t>
  </si>
  <si>
    <t>ID</t>
  </si>
  <si>
    <t>Id., Ida.</t>
  </si>
  <si>
    <t>Illinois</t>
  </si>
  <si>
    <t>US-IL</t>
  </si>
  <si>
    <t>IL</t>
  </si>
  <si>
    <t>Ill.</t>
  </si>
  <si>
    <t>Il., Ills., Ill's</t>
  </si>
  <si>
    <t>Indiana</t>
  </si>
  <si>
    <t>US-IN</t>
  </si>
  <si>
    <t>IN</t>
  </si>
  <si>
    <t>Ind.</t>
  </si>
  <si>
    <t>In.</t>
  </si>
  <si>
    <t>Iowa</t>
  </si>
  <si>
    <t>US-IA</t>
  </si>
  <si>
    <t>IA</t>
  </si>
  <si>
    <t>Ia., Ioa.[7]</t>
  </si>
  <si>
    <t>Kansas</t>
  </si>
  <si>
    <t>US-KS</t>
  </si>
  <si>
    <t>KS</t>
  </si>
  <si>
    <t>KA</t>
  </si>
  <si>
    <t>Kans.</t>
  </si>
  <si>
    <t>Kan.</t>
  </si>
  <si>
    <t>Ks., Ka.</t>
  </si>
  <si>
    <t>Kentucky</t>
  </si>
  <si>
    <t>State (Commonwealth)</t>
  </si>
  <si>
    <t>US-KY</t>
  </si>
  <si>
    <t>KY</t>
  </si>
  <si>
    <t>Ky.</t>
  </si>
  <si>
    <t>Ken., Kent.</t>
  </si>
  <si>
    <t>Louisiana</t>
  </si>
  <si>
    <t>US-LA</t>
  </si>
  <si>
    <t>LA</t>
  </si>
  <si>
    <t>La.</t>
  </si>
  <si>
    <t>Maine</t>
  </si>
  <si>
    <t>US-ME</t>
  </si>
  <si>
    <t>ME</t>
  </si>
  <si>
    <t>Me.</t>
  </si>
  <si>
    <t>Maryland</t>
  </si>
  <si>
    <t>US-MD</t>
  </si>
  <si>
    <t>MD</t>
  </si>
  <si>
    <t>Md.</t>
  </si>
  <si>
    <t>Massachusetts</t>
  </si>
  <si>
    <t>US-MA</t>
  </si>
  <si>
    <t>MA</t>
  </si>
  <si>
    <t>MS</t>
  </si>
  <si>
    <t>Mass.</t>
  </si>
  <si>
    <t>Michigan</t>
  </si>
  <si>
    <t>US-MI</t>
  </si>
  <si>
    <t>MI</t>
  </si>
  <si>
    <t>MC</t>
  </si>
  <si>
    <t>Mich.</t>
  </si>
  <si>
    <t>Minnesota</t>
  </si>
  <si>
    <t>US-MN</t>
  </si>
  <si>
    <t>MN</t>
  </si>
  <si>
    <t>Minn.</t>
  </si>
  <si>
    <t>Mn.</t>
  </si>
  <si>
    <t>Mississippi</t>
  </si>
  <si>
    <t>US-MS</t>
  </si>
  <si>
    <t>Miss.</t>
  </si>
  <si>
    <t>Missouri</t>
  </si>
  <si>
    <t>US-MO</t>
  </si>
  <si>
    <t>MO</t>
  </si>
  <si>
    <t>Mo.</t>
  </si>
  <si>
    <t>Montana</t>
  </si>
  <si>
    <t>US-MT</t>
  </si>
  <si>
    <t>MT</t>
  </si>
  <si>
    <t>Mont.</t>
  </si>
  <si>
    <t>Nebraska</t>
  </si>
  <si>
    <t>US-NE</t>
  </si>
  <si>
    <t>NE</t>
  </si>
  <si>
    <t>NB</t>
  </si>
  <si>
    <t>Nebr.</t>
  </si>
  <si>
    <t>Neb.</t>
  </si>
  <si>
    <t>Nevada</t>
  </si>
  <si>
    <t>US-NV</t>
  </si>
  <si>
    <t>NV</t>
  </si>
  <si>
    <t>Nev.</t>
  </si>
  <si>
    <t>Nv.</t>
  </si>
  <si>
    <t>New Hampshire</t>
  </si>
  <si>
    <t>US-NH</t>
  </si>
  <si>
    <t>NH</t>
  </si>
  <si>
    <t>N.H.</t>
  </si>
  <si>
    <t>New Jersey</t>
  </si>
  <si>
    <t>US-NJ</t>
  </si>
  <si>
    <t>NJ</t>
  </si>
  <si>
    <t>N.J.</t>
  </si>
  <si>
    <t>New Mexico</t>
  </si>
  <si>
    <t>US-NM</t>
  </si>
  <si>
    <t>NM</t>
  </si>
  <si>
    <t>N. Mex.</t>
  </si>
  <si>
    <t>N.M.</t>
  </si>
  <si>
    <t>New M.</t>
  </si>
  <si>
    <t>New York</t>
  </si>
  <si>
    <t>US-NY</t>
  </si>
  <si>
    <t>NY</t>
  </si>
  <si>
    <t>N.Y.</t>
  </si>
  <si>
    <t>N. York</t>
  </si>
  <si>
    <t>North Carolina</t>
  </si>
  <si>
    <t>US-NC</t>
  </si>
  <si>
    <t>NC</t>
  </si>
  <si>
    <t>N.C.</t>
  </si>
  <si>
    <t>N. Car.</t>
  </si>
  <si>
    <t>North Dakota</t>
  </si>
  <si>
    <t>US-ND</t>
  </si>
  <si>
    <t>ND</t>
  </si>
  <si>
    <t>N. Dak.</t>
  </si>
  <si>
    <t>N.D.</t>
  </si>
  <si>
    <t>NoDak</t>
  </si>
  <si>
    <t>Ohio</t>
  </si>
  <si>
    <t>US-OH</t>
  </si>
  <si>
    <t>OH</t>
  </si>
  <si>
    <t>O., Oh.</t>
  </si>
  <si>
    <t>Oklahoma</t>
  </si>
  <si>
    <t>US-OK</t>
  </si>
  <si>
    <t>OK</t>
  </si>
  <si>
    <t>Okla.</t>
  </si>
  <si>
    <t>Ok.</t>
  </si>
  <si>
    <t>Oregon</t>
  </si>
  <si>
    <t>US-OR</t>
  </si>
  <si>
    <t>OR</t>
  </si>
  <si>
    <t>Oreg.</t>
  </si>
  <si>
    <t>Ore.</t>
  </si>
  <si>
    <t>Or.</t>
  </si>
  <si>
    <t>Pennsylvania</t>
  </si>
  <si>
    <t>US-PA</t>
  </si>
  <si>
    <t>PA</t>
  </si>
  <si>
    <t>Pa.</t>
  </si>
  <si>
    <t>Penn., Penna.</t>
  </si>
  <si>
    <t>Rhode Island</t>
  </si>
  <si>
    <t>US-RI</t>
  </si>
  <si>
    <t>RI</t>
  </si>
  <si>
    <t>R.I.</t>
  </si>
  <si>
    <t>R.I. &amp; P.P., R. Isl.</t>
  </si>
  <si>
    <t>South Carolina</t>
  </si>
  <si>
    <t>US-SC</t>
  </si>
  <si>
    <t>SC</t>
  </si>
  <si>
    <t>S.C.</t>
  </si>
  <si>
    <t>S. Car.</t>
  </si>
  <si>
    <t>South Dakota</t>
  </si>
  <si>
    <t>US-SD</t>
  </si>
  <si>
    <t>SD</t>
  </si>
  <si>
    <t>S. Dak.</t>
  </si>
  <si>
    <t>S.D.</t>
  </si>
  <si>
    <t>SoDak</t>
  </si>
  <si>
    <t>Tennessee</t>
  </si>
  <si>
    <t>US-TN</t>
  </si>
  <si>
    <t>TN</t>
  </si>
  <si>
    <t>Tenn.</t>
  </si>
  <si>
    <t>Texas</t>
  </si>
  <si>
    <t>US-TX</t>
  </si>
  <si>
    <t>TX</t>
  </si>
  <si>
    <t>Tex.</t>
  </si>
  <si>
    <t>Tx.</t>
  </si>
  <si>
    <t>Utah</t>
  </si>
  <si>
    <t>US-UT</t>
  </si>
  <si>
    <t>UT</t>
  </si>
  <si>
    <t>Ut.</t>
  </si>
  <si>
    <t>Vermont</t>
  </si>
  <si>
    <t>US-VT</t>
  </si>
  <si>
    <t>VT</t>
  </si>
  <si>
    <t>Vt.</t>
  </si>
  <si>
    <t>Virginia</t>
  </si>
  <si>
    <t>US-VA</t>
  </si>
  <si>
    <t>VA</t>
  </si>
  <si>
    <t>Va.</t>
  </si>
  <si>
    <t>Virg.</t>
  </si>
  <si>
    <t>Washington</t>
  </si>
  <si>
    <t>US-WA</t>
  </si>
  <si>
    <t>WA</t>
  </si>
  <si>
    <t>WN</t>
  </si>
  <si>
    <t>Wash.</t>
  </si>
  <si>
    <t>Wa., Wn.[8]</t>
  </si>
  <si>
    <t>West Virginia</t>
  </si>
  <si>
    <t>US-WV</t>
  </si>
  <si>
    <t>WV</t>
  </si>
  <si>
    <t>W. Va.</t>
  </si>
  <si>
    <t>W.Va.</t>
  </si>
  <si>
    <t>W.V., W. Virg.</t>
  </si>
  <si>
    <t>Wisconsin</t>
  </si>
  <si>
    <t>US-WI</t>
  </si>
  <si>
    <t>WI</t>
  </si>
  <si>
    <t>WS</t>
  </si>
  <si>
    <t>Wis.</t>
  </si>
  <si>
    <t>Wi., Wisc.</t>
  </si>
  <si>
    <t>Wyoming</t>
  </si>
  <si>
    <t>US-WY</t>
  </si>
  <si>
    <t>WY</t>
  </si>
  <si>
    <t>Wyo.</t>
  </si>
  <si>
    <t>Wy.</t>
  </si>
  <si>
    <t>American Samoa</t>
  </si>
  <si>
    <t>Insular area (Territory)</t>
  </si>
  <si>
    <t>AS</t>
  </si>
  <si>
    <t>ASM</t>
  </si>
  <si>
    <t>US-AS</t>
  </si>
  <si>
    <t>A.S.</t>
  </si>
  <si>
    <t>Guam</t>
  </si>
  <si>
    <t>GU</t>
  </si>
  <si>
    <t>GUM</t>
  </si>
  <si>
    <t>US-GU</t>
  </si>
  <si>
    <t>Northern Mariana Islands</t>
  </si>
  <si>
    <t>Insular area (Commonwealth)</t>
  </si>
  <si>
    <t>MP</t>
  </si>
  <si>
    <t>MNP</t>
  </si>
  <si>
    <t>US-MP</t>
  </si>
  <si>
    <t>CM</t>
  </si>
  <si>
    <t>M.P.</t>
  </si>
  <si>
    <t>Puerto Rico</t>
  </si>
  <si>
    <t>PR</t>
  </si>
  <si>
    <t>PRI</t>
  </si>
  <si>
    <t>US-PR</t>
  </si>
  <si>
    <t>P.R.</t>
  </si>
  <si>
    <t>Virgin Islands</t>
  </si>
  <si>
    <t>VI</t>
  </si>
  <si>
    <t>VIR</t>
  </si>
  <si>
    <t>US-VI</t>
  </si>
  <si>
    <t>V.I.</t>
  </si>
  <si>
    <t>U.S.V.I.</t>
  </si>
  <si>
    <t>U.S. Minor Outlying Islands</t>
  </si>
  <si>
    <t>Insular areas</t>
  </si>
  <si>
    <t>UM</t>
  </si>
  <si>
    <t>UMI</t>
  </si>
  <si>
    <t>US-UM</t>
  </si>
  <si>
    <t xml:space="preserve">   Baker Island</t>
  </si>
  <si>
    <t xml:space="preserve">   island</t>
  </si>
  <si>
    <t>UM-81</t>
  </si>
  <si>
    <t xml:space="preserve">   Howland Island</t>
  </si>
  <si>
    <t>UM-84</t>
  </si>
  <si>
    <t xml:space="preserve">   Jarvis Island</t>
  </si>
  <si>
    <t>UM-86</t>
  </si>
  <si>
    <t xml:space="preserve">   Johnston Atoll</t>
  </si>
  <si>
    <t xml:space="preserve">   atoll</t>
  </si>
  <si>
    <t>UM-67</t>
  </si>
  <si>
    <t xml:space="preserve">   Kingman Reef</t>
  </si>
  <si>
    <t>UM-89</t>
  </si>
  <si>
    <t xml:space="preserve">   Midway Islands</t>
  </si>
  <si>
    <t>UM-71</t>
  </si>
  <si>
    <t xml:space="preserve">   Navassa Island</t>
  </si>
  <si>
    <t>UM-76</t>
  </si>
  <si>
    <t xml:space="preserve">   Palmyra Atoll[9]</t>
  </si>
  <si>
    <t xml:space="preserve">   atoll[9]</t>
  </si>
  <si>
    <t>UM-95</t>
  </si>
  <si>
    <t xml:space="preserve">   Wake Island</t>
  </si>
  <si>
    <t>UM-79</t>
  </si>
  <si>
    <t>Federated States of Micronesia</t>
  </si>
  <si>
    <t>Freely associated state</t>
  </si>
  <si>
    <t>FM</t>
  </si>
  <si>
    <t>FSM</t>
  </si>
  <si>
    <t>Marshall Islands</t>
  </si>
  <si>
    <t>MH</t>
  </si>
  <si>
    <t>MHL</t>
  </si>
  <si>
    <t>Palau</t>
  </si>
  <si>
    <t>PW</t>
  </si>
  <si>
    <t>PLW</t>
  </si>
  <si>
    <t>U.S. Armed Forces – Americas[10]</t>
  </si>
  <si>
    <t>US military mail code</t>
  </si>
  <si>
    <t>AA</t>
  </si>
  <si>
    <t>U.S. Armed Forces – Europe[11]</t>
  </si>
  <si>
    <t>AE</t>
  </si>
  <si>
    <t>U.S. Armed Forces – Pacific[12]</t>
  </si>
  <si>
    <t>AP</t>
  </si>
  <si>
    <t>Obsolete postal code[13]</t>
  </si>
  <si>
    <t>Panama Canal Zone</t>
  </si>
  <si>
    <t>Obsolete postal code</t>
  </si>
  <si>
    <t>CZ</t>
  </si>
  <si>
    <t>Obsolete postal code[14]</t>
  </si>
  <si>
    <t>Philippine Islands</t>
  </si>
  <si>
    <t>PH</t>
  </si>
  <si>
    <t>PHL[15]</t>
  </si>
  <si>
    <t>PI</t>
  </si>
  <si>
    <t>Trust Territory of the Pacific Islands</t>
  </si>
  <si>
    <t>TT</t>
  </si>
  <si>
    <t>Reg Expression</t>
  </si>
  <si>
    <t>Transformation</t>
  </si>
  <si>
    <r>
      <rPr>
        <b/>
        <i/>
        <u/>
        <sz val="11"/>
        <color theme="3"/>
        <rFont val="Calibri"/>
        <family val="2"/>
        <scheme val="minor"/>
      </rPr>
      <t>Sorted</t>
    </r>
    <r>
      <rPr>
        <b/>
        <i/>
        <sz val="11"/>
        <color theme="1"/>
        <rFont val="Calibri"/>
        <family val="2"/>
        <scheme val="minor"/>
      </rPr>
      <t xml:space="preserve"> Codes List</t>
    </r>
  </si>
  <si>
    <t>Lynchburg</t>
  </si>
  <si>
    <t>Bedford</t>
  </si>
  <si>
    <t>Forest</t>
  </si>
  <si>
    <t>Appomattox</t>
  </si>
  <si>
    <t>Roanoke</t>
  </si>
  <si>
    <t>Amherst</t>
  </si>
  <si>
    <t>Danville</t>
  </si>
  <si>
    <t>Virginia Beach</t>
  </si>
  <si>
    <t>Salem</t>
  </si>
  <si>
    <t>Altavista</t>
  </si>
  <si>
    <t>Madison Heights</t>
  </si>
  <si>
    <t>Murfreesboro</t>
  </si>
  <si>
    <t>Rustburg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</si>
</sst>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General;;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11"/>
      <color theme="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Continuous"/>
    </xf>
    <xf numFmtId="0" fontId="2" fillId="2" borderId="0" xfId="0" applyFont="1" applyFill="1" applyBorder="1"/>
    <xf numFmtId="164" fontId="3" fillId="4" borderId="0" xfId="0" applyNumberFormat="1" applyFont="1" applyFill="1" applyBorder="1"/>
    <xf numFmtId="0" fontId="3" fillId="4" borderId="0" xfId="0" applyFont="1" applyFill="1" applyBorder="1"/>
    <xf numFmtId="0" fontId="4" fillId="0" borderId="0" xfId="0" applyFont="1"/>
    <xf numFmtId="0" fontId="0" fillId="5" borderId="0" xfId="0" applyFill="1"/>
    <xf numFmtId="0" fontId="2" fillId="3" borderId="0" xfId="0" applyFont="1" applyFill="1" applyBorder="1"/>
    <xf numFmtId="0" fontId="4" fillId="0" borderId="0" xfId="0" applyFont="1" applyAlignment="1">
      <alignment wrapText="1"/>
    </xf>
  </cellXfs>
  <cellStyles count="1">
    <cellStyle name="Normal" xfId="0" builtinId="0"/>
  </cellStyles>
  <dxfs count="2">
    <dxf>
      <font>
        <color theme="0" tint="-0.24994659260841701"/>
      </font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M44"/>
  <sheetViews>
    <sheetView tabSelected="1" workbookViewId="0">
      <selection activeCell="C7" sqref="C7"/>
    </sheetView>
  </sheetViews>
  <sheetFormatPr defaultRowHeight="15" x14ac:dyDescent="0.25"/>
  <cols>
    <col min="3" max="3" width="47.85546875" bestFit="1" customWidth="1"/>
    <col min="4" max="4" width="34.85546875" bestFit="1" customWidth="1"/>
    <col min="5" max="5" width="25.140625" bestFit="1" customWidth="1"/>
    <col min="6" max="6" width="15.85546875" bestFit="1" customWidth="1"/>
    <col min="7" max="7" width="5.5703125" bestFit="1" customWidth="1"/>
    <col min="8" max="8" width="8.7109375" bestFit="1" customWidth="1"/>
    <col min="9" max="10" width="14.5703125" bestFit="1" customWidth="1"/>
    <col min="11" max="11" width="18" bestFit="1" customWidth="1"/>
  </cols>
  <sheetData>
    <row r="1" spans="3:13" x14ac:dyDescent="0.25">
      <c r="C1" s="1" t="s">
        <v>0</v>
      </c>
      <c r="D1" s="1" t="s">
        <v>1</v>
      </c>
      <c r="E1" s="1" t="s">
        <v>2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2"/>
    </row>
    <row r="2" spans="3:13" x14ac:dyDescent="0.25">
      <c r="C2" s="2" t="s">
        <v>181</v>
      </c>
      <c r="D2" s="2" t="s">
        <v>9</v>
      </c>
      <c r="E2" s="2" t="s">
        <v>10</v>
      </c>
      <c r="F2" s="2" t="s">
        <v>543</v>
      </c>
      <c r="G2" s="2" t="s">
        <v>432</v>
      </c>
      <c r="H2" s="2">
        <v>24502</v>
      </c>
      <c r="I2" s="2" t="s">
        <v>11</v>
      </c>
      <c r="J2" s="2"/>
      <c r="K2" s="2"/>
      <c r="L2" s="2" t="s">
        <v>12</v>
      </c>
      <c r="M2" s="2"/>
    </row>
    <row r="3" spans="3:13" x14ac:dyDescent="0.25">
      <c r="C3" s="2" t="s">
        <v>13</v>
      </c>
      <c r="D3" s="2" t="s">
        <v>14</v>
      </c>
      <c r="E3" s="2" t="s">
        <v>15</v>
      </c>
      <c r="F3" s="2" t="s">
        <v>543</v>
      </c>
      <c r="G3" s="2" t="s">
        <v>432</v>
      </c>
      <c r="H3" s="2">
        <v>24503</v>
      </c>
      <c r="I3" s="2" t="s">
        <v>16</v>
      </c>
      <c r="J3" s="2"/>
      <c r="K3" s="2"/>
      <c r="L3" s="2" t="s">
        <v>17</v>
      </c>
      <c r="M3" s="2"/>
    </row>
    <row r="4" spans="3:13" x14ac:dyDescent="0.25">
      <c r="C4" s="2" t="s">
        <v>18</v>
      </c>
      <c r="D4" s="2" t="s">
        <v>19</v>
      </c>
      <c r="E4" s="2" t="s">
        <v>20</v>
      </c>
      <c r="F4" s="2" t="s">
        <v>543</v>
      </c>
      <c r="G4" s="2" t="s">
        <v>432</v>
      </c>
      <c r="H4" s="2">
        <v>24501</v>
      </c>
      <c r="I4" s="2" t="s">
        <v>21</v>
      </c>
      <c r="J4" s="2"/>
      <c r="K4" s="2"/>
      <c r="L4" s="2" t="s">
        <v>22</v>
      </c>
      <c r="M4" s="2"/>
    </row>
    <row r="5" spans="3:13" x14ac:dyDescent="0.25">
      <c r="C5" s="2" t="s">
        <v>23</v>
      </c>
      <c r="D5" s="2"/>
      <c r="E5" s="2" t="s">
        <v>24</v>
      </c>
      <c r="F5" s="2" t="s">
        <v>544</v>
      </c>
      <c r="G5" s="2" t="s">
        <v>432</v>
      </c>
      <c r="H5" s="2"/>
      <c r="I5" s="2" t="s">
        <v>25</v>
      </c>
      <c r="J5" s="2"/>
      <c r="K5" s="2"/>
      <c r="L5" s="2" t="s">
        <v>26</v>
      </c>
      <c r="M5" s="2"/>
    </row>
    <row r="6" spans="3:13" x14ac:dyDescent="0.25">
      <c r="C6" s="2" t="s">
        <v>27</v>
      </c>
      <c r="D6" s="2" t="s">
        <v>28</v>
      </c>
      <c r="E6" s="2" t="s">
        <v>20</v>
      </c>
      <c r="F6" s="2" t="s">
        <v>543</v>
      </c>
      <c r="G6" s="2" t="s">
        <v>432</v>
      </c>
      <c r="H6" s="2">
        <v>24501</v>
      </c>
      <c r="I6" s="2" t="s">
        <v>29</v>
      </c>
      <c r="J6" s="2" t="s">
        <v>30</v>
      </c>
      <c r="K6" s="2"/>
      <c r="L6" s="2" t="s">
        <v>31</v>
      </c>
      <c r="M6" s="2"/>
    </row>
    <row r="7" spans="3:13" x14ac:dyDescent="0.25">
      <c r="C7" s="2" t="s">
        <v>32</v>
      </c>
      <c r="D7" s="2" t="s">
        <v>33</v>
      </c>
      <c r="E7" s="2" t="s">
        <v>10</v>
      </c>
      <c r="F7" s="2" t="s">
        <v>543</v>
      </c>
      <c r="G7" s="2" t="s">
        <v>432</v>
      </c>
      <c r="H7" s="2">
        <v>24502</v>
      </c>
      <c r="I7" s="2" t="s">
        <v>34</v>
      </c>
      <c r="J7" s="2" t="s">
        <v>35</v>
      </c>
      <c r="K7" s="2"/>
      <c r="L7" s="2" t="s">
        <v>36</v>
      </c>
      <c r="M7" s="2"/>
    </row>
    <row r="8" spans="3:13" x14ac:dyDescent="0.25">
      <c r="C8" s="2" t="s">
        <v>182</v>
      </c>
      <c r="D8" s="2" t="s">
        <v>37</v>
      </c>
      <c r="E8" s="2" t="s">
        <v>38</v>
      </c>
      <c r="F8" s="2" t="s">
        <v>545</v>
      </c>
      <c r="G8" s="2" t="s">
        <v>432</v>
      </c>
      <c r="H8" s="2">
        <v>24551</v>
      </c>
      <c r="I8" s="2" t="s">
        <v>39</v>
      </c>
      <c r="J8" s="2"/>
      <c r="K8" s="2"/>
      <c r="L8" s="2" t="s">
        <v>40</v>
      </c>
      <c r="M8" s="2"/>
    </row>
    <row r="9" spans="3:13" x14ac:dyDescent="0.25">
      <c r="C9" s="2" t="s">
        <v>183</v>
      </c>
      <c r="D9" s="2" t="s">
        <v>41</v>
      </c>
      <c r="E9" s="2" t="s">
        <v>42</v>
      </c>
      <c r="F9" s="2" t="s">
        <v>543</v>
      </c>
      <c r="G9" s="2" t="s">
        <v>432</v>
      </c>
      <c r="H9" s="2">
        <v>24504</v>
      </c>
      <c r="I9" s="2" t="s">
        <v>43</v>
      </c>
      <c r="J9" s="2"/>
      <c r="K9" s="2"/>
      <c r="L9" s="2" t="s">
        <v>44</v>
      </c>
      <c r="M9" s="2"/>
    </row>
    <row r="10" spans="3:13" x14ac:dyDescent="0.25">
      <c r="C10" s="2" t="s">
        <v>184</v>
      </c>
      <c r="D10" s="2" t="s">
        <v>45</v>
      </c>
      <c r="E10" s="2" t="s">
        <v>20</v>
      </c>
      <c r="F10" s="2" t="s">
        <v>543</v>
      </c>
      <c r="G10" s="2" t="s">
        <v>432</v>
      </c>
      <c r="H10" s="2">
        <v>24501</v>
      </c>
      <c r="I10" s="2" t="s">
        <v>46</v>
      </c>
      <c r="J10" s="2" t="s">
        <v>47</v>
      </c>
      <c r="K10" s="2"/>
      <c r="L10" s="2" t="s">
        <v>48</v>
      </c>
      <c r="M10" s="2"/>
    </row>
    <row r="11" spans="3:13" x14ac:dyDescent="0.25">
      <c r="C11" s="2" t="s">
        <v>185</v>
      </c>
      <c r="D11" s="2"/>
      <c r="E11" s="2" t="s">
        <v>49</v>
      </c>
      <c r="F11" s="2" t="s">
        <v>546</v>
      </c>
      <c r="G11" s="2" t="s">
        <v>432</v>
      </c>
      <c r="H11" s="2"/>
      <c r="I11" s="2" t="s">
        <v>50</v>
      </c>
      <c r="J11" s="2"/>
      <c r="K11" s="2"/>
      <c r="L11" s="2"/>
      <c r="M11" s="2"/>
    </row>
    <row r="12" spans="3:13" x14ac:dyDescent="0.25">
      <c r="C12" s="2" t="s">
        <v>186</v>
      </c>
      <c r="D12" s="2" t="s">
        <v>51</v>
      </c>
      <c r="E12" s="2" t="s">
        <v>38</v>
      </c>
      <c r="F12" s="2" t="s">
        <v>545</v>
      </c>
      <c r="G12" s="2" t="s">
        <v>432</v>
      </c>
      <c r="H12" s="2">
        <v>24551</v>
      </c>
      <c r="I12" s="2" t="s">
        <v>52</v>
      </c>
      <c r="J12" s="2" t="s">
        <v>53</v>
      </c>
      <c r="K12" s="2"/>
      <c r="L12" s="2" t="s">
        <v>54</v>
      </c>
      <c r="M12" s="2"/>
    </row>
    <row r="13" spans="3:13" x14ac:dyDescent="0.25">
      <c r="C13" s="2" t="s">
        <v>55</v>
      </c>
      <c r="D13" s="2" t="s">
        <v>56</v>
      </c>
      <c r="E13" s="2" t="s">
        <v>10</v>
      </c>
      <c r="F13" s="2" t="s">
        <v>543</v>
      </c>
      <c r="G13" s="2" t="s">
        <v>432</v>
      </c>
      <c r="H13" s="2">
        <v>24502</v>
      </c>
      <c r="I13" s="2" t="s">
        <v>57</v>
      </c>
      <c r="J13" s="2"/>
      <c r="K13" s="2"/>
      <c r="L13" s="2" t="s">
        <v>58</v>
      </c>
      <c r="M13" s="2"/>
    </row>
    <row r="14" spans="3:13" x14ac:dyDescent="0.25">
      <c r="C14" s="2" t="s">
        <v>59</v>
      </c>
      <c r="D14" s="2"/>
      <c r="E14" s="2" t="s">
        <v>60</v>
      </c>
      <c r="F14" s="2" t="s">
        <v>547</v>
      </c>
      <c r="G14" s="2" t="s">
        <v>432</v>
      </c>
      <c r="H14" s="2"/>
      <c r="I14" s="2" t="s">
        <v>61</v>
      </c>
      <c r="J14" s="2"/>
      <c r="K14" s="2"/>
      <c r="L14" s="2" t="s">
        <v>62</v>
      </c>
      <c r="M14" s="2"/>
    </row>
    <row r="15" spans="3:13" x14ac:dyDescent="0.25">
      <c r="C15" s="2" t="s">
        <v>63</v>
      </c>
      <c r="D15" s="2"/>
      <c r="E15" s="2" t="s">
        <v>60</v>
      </c>
      <c r="F15" s="2" t="s">
        <v>547</v>
      </c>
      <c r="G15" s="2" t="s">
        <v>432</v>
      </c>
      <c r="H15" s="2"/>
      <c r="I15" s="2" t="s">
        <v>64</v>
      </c>
      <c r="J15" s="2"/>
      <c r="K15" s="2"/>
      <c r="L15" s="2" t="s">
        <v>65</v>
      </c>
      <c r="M15" s="2"/>
    </row>
    <row r="16" spans="3:13" x14ac:dyDescent="0.25">
      <c r="C16" s="2" t="s">
        <v>18</v>
      </c>
      <c r="D16" s="2" t="s">
        <v>19</v>
      </c>
      <c r="E16" s="2" t="s">
        <v>20</v>
      </c>
      <c r="F16" s="2" t="s">
        <v>543</v>
      </c>
      <c r="G16" s="2" t="s">
        <v>432</v>
      </c>
      <c r="H16" s="2">
        <v>24501</v>
      </c>
      <c r="I16" s="2" t="s">
        <v>21</v>
      </c>
      <c r="J16" s="2"/>
      <c r="K16" s="2"/>
      <c r="L16" s="2" t="s">
        <v>22</v>
      </c>
      <c r="M16" s="2"/>
    </row>
    <row r="17" spans="3:13" x14ac:dyDescent="0.25">
      <c r="C17" s="2" t="s">
        <v>66</v>
      </c>
      <c r="D17" s="2" t="s">
        <v>67</v>
      </c>
      <c r="E17" s="2" t="s">
        <v>42</v>
      </c>
      <c r="F17" s="2" t="s">
        <v>543</v>
      </c>
      <c r="G17" s="2" t="s">
        <v>432</v>
      </c>
      <c r="H17" s="2">
        <v>24504</v>
      </c>
      <c r="I17" s="2"/>
      <c r="J17" s="2" t="s">
        <v>68</v>
      </c>
      <c r="K17" s="2"/>
      <c r="L17" s="2" t="s">
        <v>69</v>
      </c>
      <c r="M17" s="2"/>
    </row>
    <row r="18" spans="3:13" x14ac:dyDescent="0.25">
      <c r="C18" s="2" t="s">
        <v>70</v>
      </c>
      <c r="D18" s="2" t="s">
        <v>71</v>
      </c>
      <c r="E18" s="2" t="s">
        <v>42</v>
      </c>
      <c r="F18" s="2" t="s">
        <v>543</v>
      </c>
      <c r="G18" s="2" t="s">
        <v>432</v>
      </c>
      <c r="H18" s="2">
        <v>24504</v>
      </c>
      <c r="I18" s="2" t="s">
        <v>72</v>
      </c>
      <c r="J18" s="2"/>
      <c r="K18" s="2"/>
      <c r="L18" s="2" t="s">
        <v>73</v>
      </c>
      <c r="M18" s="2"/>
    </row>
    <row r="19" spans="3:13" x14ac:dyDescent="0.25">
      <c r="C19" s="2" t="s">
        <v>74</v>
      </c>
      <c r="D19" s="2" t="s">
        <v>75</v>
      </c>
      <c r="E19" s="2" t="s">
        <v>20</v>
      </c>
      <c r="F19" s="2" t="s">
        <v>543</v>
      </c>
      <c r="G19" s="2" t="s">
        <v>432</v>
      </c>
      <c r="H19" s="2">
        <v>24501</v>
      </c>
      <c r="I19" s="2" t="s">
        <v>76</v>
      </c>
      <c r="J19" s="2"/>
      <c r="K19" s="2"/>
      <c r="L19" s="2" t="s">
        <v>77</v>
      </c>
      <c r="M19" s="2"/>
    </row>
    <row r="20" spans="3:13" x14ac:dyDescent="0.25">
      <c r="C20" s="2" t="s">
        <v>78</v>
      </c>
      <c r="D20" s="2" t="s">
        <v>79</v>
      </c>
      <c r="E20" s="2" t="s">
        <v>80</v>
      </c>
      <c r="F20" s="2" t="s">
        <v>548</v>
      </c>
      <c r="G20" s="2" t="s">
        <v>432</v>
      </c>
      <c r="H20" s="2">
        <v>24521</v>
      </c>
      <c r="I20" s="2" t="s">
        <v>81</v>
      </c>
      <c r="J20" s="2"/>
      <c r="K20" s="2"/>
      <c r="L20" s="2" t="s">
        <v>82</v>
      </c>
      <c r="M20" s="2"/>
    </row>
    <row r="21" spans="3:13" x14ac:dyDescent="0.25">
      <c r="C21" s="2" t="s">
        <v>83</v>
      </c>
      <c r="D21" s="2" t="s">
        <v>79</v>
      </c>
      <c r="E21" s="2" t="s">
        <v>80</v>
      </c>
      <c r="F21" s="2" t="s">
        <v>548</v>
      </c>
      <c r="G21" s="2" t="s">
        <v>432</v>
      </c>
      <c r="H21" s="2">
        <v>24521</v>
      </c>
      <c r="I21" s="2" t="s">
        <v>81</v>
      </c>
      <c r="J21" s="2"/>
      <c r="K21" s="2"/>
      <c r="L21" s="2" t="s">
        <v>82</v>
      </c>
      <c r="M21" s="2"/>
    </row>
    <row r="22" spans="3:13" x14ac:dyDescent="0.25">
      <c r="C22" s="2" t="s">
        <v>84</v>
      </c>
      <c r="D22" s="2" t="s">
        <v>75</v>
      </c>
      <c r="E22" s="2" t="s">
        <v>20</v>
      </c>
      <c r="F22" s="2" t="s">
        <v>543</v>
      </c>
      <c r="G22" s="2" t="s">
        <v>432</v>
      </c>
      <c r="H22" s="2">
        <v>24501</v>
      </c>
      <c r="I22" s="2" t="s">
        <v>85</v>
      </c>
      <c r="J22" s="2"/>
      <c r="K22" s="2"/>
      <c r="L22" s="2" t="s">
        <v>86</v>
      </c>
      <c r="M22" s="2"/>
    </row>
    <row r="23" spans="3:13" x14ac:dyDescent="0.25">
      <c r="C23" s="2" t="s">
        <v>87</v>
      </c>
      <c r="D23" s="2" t="s">
        <v>88</v>
      </c>
      <c r="E23" s="2" t="s">
        <v>10</v>
      </c>
      <c r="F23" s="2" t="s">
        <v>543</v>
      </c>
      <c r="G23" s="2" t="s">
        <v>432</v>
      </c>
      <c r="H23" s="2">
        <v>24502</v>
      </c>
      <c r="I23" s="2" t="s">
        <v>89</v>
      </c>
      <c r="J23" s="2" t="s">
        <v>90</v>
      </c>
      <c r="K23" s="2"/>
      <c r="L23" s="2" t="s">
        <v>91</v>
      </c>
      <c r="M23" s="2"/>
    </row>
    <row r="24" spans="3:13" x14ac:dyDescent="0.25">
      <c r="C24" s="2" t="s">
        <v>92</v>
      </c>
      <c r="D24" s="2" t="s">
        <v>93</v>
      </c>
      <c r="E24" s="2" t="s">
        <v>10</v>
      </c>
      <c r="F24" s="2" t="s">
        <v>543</v>
      </c>
      <c r="G24" s="2" t="s">
        <v>432</v>
      </c>
      <c r="H24" s="2">
        <v>24502</v>
      </c>
      <c r="I24" s="2" t="s">
        <v>94</v>
      </c>
      <c r="J24" s="2" t="s">
        <v>95</v>
      </c>
      <c r="K24" s="2"/>
      <c r="L24" s="2" t="s">
        <v>96</v>
      </c>
      <c r="M24" s="2"/>
    </row>
    <row r="25" spans="3:13" x14ac:dyDescent="0.25">
      <c r="C25" s="2" t="s">
        <v>97</v>
      </c>
      <c r="D25" s="2" t="s">
        <v>98</v>
      </c>
      <c r="E25" s="2" t="s">
        <v>99</v>
      </c>
      <c r="F25" s="2" t="s">
        <v>547</v>
      </c>
      <c r="G25" s="2" t="s">
        <v>432</v>
      </c>
      <c r="H25" s="2">
        <v>24012</v>
      </c>
      <c r="I25" s="2"/>
      <c r="J25" s="2" t="s">
        <v>100</v>
      </c>
      <c r="K25" s="2"/>
      <c r="L25" s="2" t="s">
        <v>101</v>
      </c>
      <c r="M25" s="2"/>
    </row>
    <row r="26" spans="3:13" x14ac:dyDescent="0.25">
      <c r="C26" s="2" t="s">
        <v>102</v>
      </c>
      <c r="D26" s="2" t="s">
        <v>103</v>
      </c>
      <c r="E26" s="2" t="s">
        <v>20</v>
      </c>
      <c r="F26" s="2" t="s">
        <v>543</v>
      </c>
      <c r="G26" s="2" t="s">
        <v>432</v>
      </c>
      <c r="H26" s="2">
        <v>24501</v>
      </c>
      <c r="I26" s="2" t="s">
        <v>104</v>
      </c>
      <c r="J26" s="2"/>
      <c r="K26" s="2"/>
      <c r="L26" s="2" t="s">
        <v>105</v>
      </c>
      <c r="M26" s="2"/>
    </row>
    <row r="27" spans="3:13" x14ac:dyDescent="0.25">
      <c r="C27" s="2" t="s">
        <v>106</v>
      </c>
      <c r="D27" s="2"/>
      <c r="E27" s="2" t="s">
        <v>42</v>
      </c>
      <c r="F27" s="2" t="s">
        <v>543</v>
      </c>
      <c r="G27" s="2" t="s">
        <v>432</v>
      </c>
      <c r="H27" s="2">
        <v>24504</v>
      </c>
      <c r="I27" s="2" t="s">
        <v>107</v>
      </c>
      <c r="J27" s="2"/>
      <c r="K27" s="2"/>
      <c r="L27" s="2" t="s">
        <v>108</v>
      </c>
      <c r="M27" s="2"/>
    </row>
    <row r="28" spans="3:13" x14ac:dyDescent="0.25">
      <c r="C28" s="2" t="s">
        <v>109</v>
      </c>
      <c r="D28" s="2" t="s">
        <v>110</v>
      </c>
      <c r="E28" s="2" t="s">
        <v>20</v>
      </c>
      <c r="F28" s="2" t="s">
        <v>543</v>
      </c>
      <c r="G28" s="2" t="s">
        <v>432</v>
      </c>
      <c r="H28" s="2">
        <v>24501</v>
      </c>
      <c r="I28" s="2" t="s">
        <v>111</v>
      </c>
      <c r="J28" s="2"/>
      <c r="K28" s="2"/>
      <c r="L28" s="2" t="s">
        <v>112</v>
      </c>
      <c r="M28" s="2"/>
    </row>
    <row r="29" spans="3:13" x14ac:dyDescent="0.25">
      <c r="C29" s="2" t="s">
        <v>113</v>
      </c>
      <c r="D29" s="2" t="s">
        <v>114</v>
      </c>
      <c r="E29" s="2" t="s">
        <v>20</v>
      </c>
      <c r="F29" s="2" t="s">
        <v>543</v>
      </c>
      <c r="G29" s="2" t="s">
        <v>432</v>
      </c>
      <c r="H29" s="2">
        <v>24501</v>
      </c>
      <c r="I29" s="2" t="s">
        <v>115</v>
      </c>
      <c r="J29" s="2"/>
      <c r="K29" s="2"/>
      <c r="L29" s="2" t="s">
        <v>116</v>
      </c>
      <c r="M29" s="2"/>
    </row>
    <row r="30" spans="3:13" x14ac:dyDescent="0.25">
      <c r="C30" s="2" t="s">
        <v>117</v>
      </c>
      <c r="D30" s="2" t="s">
        <v>118</v>
      </c>
      <c r="E30" s="2" t="s">
        <v>119</v>
      </c>
      <c r="F30" s="2" t="s">
        <v>549</v>
      </c>
      <c r="G30" s="2" t="s">
        <v>432</v>
      </c>
      <c r="H30" s="2">
        <v>24540</v>
      </c>
      <c r="I30" s="2" t="s">
        <v>120</v>
      </c>
      <c r="J30" s="2"/>
      <c r="K30" s="2"/>
      <c r="L30" s="2" t="s">
        <v>121</v>
      </c>
      <c r="M30" s="2"/>
    </row>
    <row r="31" spans="3:13" x14ac:dyDescent="0.25">
      <c r="C31" s="2" t="s">
        <v>122</v>
      </c>
      <c r="D31" s="2" t="s">
        <v>37</v>
      </c>
      <c r="E31" s="2" t="s">
        <v>38</v>
      </c>
      <c r="F31" s="2" t="s">
        <v>545</v>
      </c>
      <c r="G31" s="2" t="s">
        <v>432</v>
      </c>
      <c r="H31" s="2">
        <v>24551</v>
      </c>
      <c r="I31" s="2" t="s">
        <v>39</v>
      </c>
      <c r="J31" s="2"/>
      <c r="K31" s="2"/>
      <c r="L31" s="2" t="s">
        <v>40</v>
      </c>
      <c r="M31" s="2"/>
    </row>
    <row r="32" spans="3:13" x14ac:dyDescent="0.25">
      <c r="C32" s="2" t="s">
        <v>187</v>
      </c>
      <c r="D32" s="2" t="s">
        <v>123</v>
      </c>
      <c r="E32" s="2" t="s">
        <v>124</v>
      </c>
      <c r="F32" s="2" t="s">
        <v>550</v>
      </c>
      <c r="G32" s="2" t="s">
        <v>432</v>
      </c>
      <c r="H32" s="2">
        <v>23454</v>
      </c>
      <c r="I32" s="2" t="s">
        <v>125</v>
      </c>
      <c r="J32" s="2"/>
      <c r="K32" s="2"/>
      <c r="L32" s="2" t="s">
        <v>126</v>
      </c>
      <c r="M32" s="2"/>
    </row>
    <row r="33" spans="3:13" x14ac:dyDescent="0.25">
      <c r="C33" s="2" t="s">
        <v>127</v>
      </c>
      <c r="D33" s="2" t="s">
        <v>128</v>
      </c>
      <c r="E33" s="2" t="s">
        <v>129</v>
      </c>
      <c r="F33" s="2" t="s">
        <v>551</v>
      </c>
      <c r="G33" s="2" t="s">
        <v>432</v>
      </c>
      <c r="H33" s="2">
        <v>24153</v>
      </c>
      <c r="I33" s="2" t="s">
        <v>130</v>
      </c>
      <c r="J33" s="2"/>
      <c r="K33" s="2"/>
      <c r="L33" s="2" t="s">
        <v>131</v>
      </c>
      <c r="M33" s="2"/>
    </row>
    <row r="34" spans="3:13" x14ac:dyDescent="0.25">
      <c r="C34" s="2" t="s">
        <v>132</v>
      </c>
      <c r="D34" s="2" t="s">
        <v>28</v>
      </c>
      <c r="E34" s="2" t="s">
        <v>20</v>
      </c>
      <c r="F34" s="2" t="s">
        <v>543</v>
      </c>
      <c r="G34" s="2" t="s">
        <v>432</v>
      </c>
      <c r="H34" s="2">
        <v>24501</v>
      </c>
      <c r="I34" s="2" t="s">
        <v>133</v>
      </c>
      <c r="J34" s="2"/>
      <c r="K34" s="2"/>
      <c r="L34" s="2" t="s">
        <v>134</v>
      </c>
      <c r="M34" s="2"/>
    </row>
    <row r="35" spans="3:13" x14ac:dyDescent="0.25">
      <c r="C35" s="2" t="s">
        <v>135</v>
      </c>
      <c r="D35" s="2" t="s">
        <v>136</v>
      </c>
      <c r="E35" s="2" t="s">
        <v>20</v>
      </c>
      <c r="F35" s="2" t="s">
        <v>543</v>
      </c>
      <c r="G35" s="2" t="s">
        <v>432</v>
      </c>
      <c r="H35" s="2">
        <v>24501</v>
      </c>
      <c r="I35" s="2" t="s">
        <v>137</v>
      </c>
      <c r="J35" s="2" t="s">
        <v>138</v>
      </c>
      <c r="K35" s="2"/>
      <c r="L35" s="2" t="s">
        <v>139</v>
      </c>
      <c r="M35" s="2"/>
    </row>
    <row r="36" spans="3:13" x14ac:dyDescent="0.25">
      <c r="C36" s="2" t="s">
        <v>184</v>
      </c>
      <c r="D36" s="2" t="s">
        <v>45</v>
      </c>
      <c r="E36" s="2" t="s">
        <v>20</v>
      </c>
      <c r="F36" s="2" t="s">
        <v>543</v>
      </c>
      <c r="G36" s="2" t="s">
        <v>432</v>
      </c>
      <c r="H36" s="2">
        <v>24501</v>
      </c>
      <c r="I36" s="2" t="s">
        <v>46</v>
      </c>
      <c r="J36" s="2" t="s">
        <v>47</v>
      </c>
      <c r="K36" s="2"/>
      <c r="L36" s="2" t="s">
        <v>48</v>
      </c>
      <c r="M36" s="2"/>
    </row>
    <row r="37" spans="3:13" x14ac:dyDescent="0.25">
      <c r="C37" s="2" t="s">
        <v>188</v>
      </c>
      <c r="D37" s="2" t="s">
        <v>140</v>
      </c>
      <c r="E37" s="2" t="s">
        <v>141</v>
      </c>
      <c r="F37" s="2" t="s">
        <v>552</v>
      </c>
      <c r="G37" s="2" t="s">
        <v>432</v>
      </c>
      <c r="H37" s="2">
        <v>24517</v>
      </c>
      <c r="I37" s="2" t="s">
        <v>142</v>
      </c>
      <c r="J37" s="2"/>
      <c r="K37" s="2"/>
      <c r="L37" s="2" t="s">
        <v>143</v>
      </c>
      <c r="M37" s="2"/>
    </row>
    <row r="38" spans="3:13" x14ac:dyDescent="0.25">
      <c r="C38" s="2" t="s">
        <v>144</v>
      </c>
      <c r="D38" s="2" t="s">
        <v>145</v>
      </c>
      <c r="E38" s="2" t="s">
        <v>146</v>
      </c>
      <c r="F38" s="2" t="s">
        <v>553</v>
      </c>
      <c r="G38" s="2" t="s">
        <v>432</v>
      </c>
      <c r="H38" s="2">
        <v>24572</v>
      </c>
      <c r="I38" s="2" t="s">
        <v>147</v>
      </c>
      <c r="J38" s="2"/>
      <c r="K38" s="2"/>
      <c r="L38" s="2" t="s">
        <v>148</v>
      </c>
      <c r="M38" s="2"/>
    </row>
    <row r="39" spans="3:13" x14ac:dyDescent="0.25">
      <c r="C39" s="2" t="s">
        <v>149</v>
      </c>
      <c r="D39" s="2"/>
      <c r="E39" s="2" t="s">
        <v>150</v>
      </c>
      <c r="F39" s="2" t="s">
        <v>545</v>
      </c>
      <c r="G39" s="2" t="s">
        <v>432</v>
      </c>
      <c r="H39" s="2"/>
      <c r="I39" s="2" t="s">
        <v>151</v>
      </c>
      <c r="J39" s="2"/>
      <c r="K39" s="2"/>
      <c r="L39" s="2" t="s">
        <v>152</v>
      </c>
      <c r="M39" s="2"/>
    </row>
    <row r="40" spans="3:13" x14ac:dyDescent="0.25">
      <c r="C40" s="2" t="s">
        <v>153</v>
      </c>
      <c r="D40" s="2" t="s">
        <v>154</v>
      </c>
      <c r="E40" s="2" t="s">
        <v>155</v>
      </c>
      <c r="F40" s="2" t="s">
        <v>554</v>
      </c>
      <c r="G40" s="2" t="s">
        <v>415</v>
      </c>
      <c r="H40" s="2"/>
      <c r="I40" s="2" t="s">
        <v>156</v>
      </c>
      <c r="J40" s="2" t="s">
        <v>157</v>
      </c>
      <c r="K40" s="2" t="s">
        <v>158</v>
      </c>
      <c r="L40" s="2" t="s">
        <v>159</v>
      </c>
      <c r="M40" s="2"/>
    </row>
    <row r="41" spans="3:13" x14ac:dyDescent="0.25">
      <c r="C41" s="2" t="s">
        <v>160</v>
      </c>
      <c r="D41" s="2"/>
      <c r="E41" s="2" t="s">
        <v>161</v>
      </c>
      <c r="F41" s="2" t="s">
        <v>545</v>
      </c>
      <c r="G41" s="2" t="s">
        <v>432</v>
      </c>
      <c r="H41" s="2"/>
      <c r="I41" s="2" t="s">
        <v>162</v>
      </c>
      <c r="J41" s="2"/>
      <c r="K41" s="2"/>
      <c r="L41" s="2" t="s">
        <v>163</v>
      </c>
      <c r="M41" s="2"/>
    </row>
    <row r="42" spans="3:13" x14ac:dyDescent="0.25">
      <c r="C42" s="2" t="s">
        <v>164</v>
      </c>
      <c r="D42" s="2" t="s">
        <v>165</v>
      </c>
      <c r="E42" s="2" t="s">
        <v>166</v>
      </c>
      <c r="F42" s="2" t="s">
        <v>543</v>
      </c>
      <c r="G42" s="2" t="s">
        <v>432</v>
      </c>
      <c r="H42" s="2"/>
      <c r="I42" s="2" t="s">
        <v>167</v>
      </c>
      <c r="J42" s="2"/>
      <c r="K42" s="2"/>
      <c r="L42" s="2" t="s">
        <v>168</v>
      </c>
      <c r="M42" s="2"/>
    </row>
    <row r="43" spans="3:13" x14ac:dyDescent="0.25">
      <c r="C43" s="2" t="s">
        <v>169</v>
      </c>
      <c r="D43" s="2" t="s">
        <v>170</v>
      </c>
      <c r="E43" s="2" t="s">
        <v>171</v>
      </c>
      <c r="F43" s="2" t="s">
        <v>543</v>
      </c>
      <c r="G43" s="2" t="s">
        <v>432</v>
      </c>
      <c r="H43" s="2"/>
      <c r="I43" s="2" t="s">
        <v>172</v>
      </c>
      <c r="J43" s="2" t="s">
        <v>173</v>
      </c>
      <c r="K43" s="2" t="s">
        <v>174</v>
      </c>
      <c r="L43" s="2" t="s">
        <v>175</v>
      </c>
      <c r="M43" s="2"/>
    </row>
    <row r="44" spans="3:13" x14ac:dyDescent="0.25">
      <c r="C44" s="2" t="s">
        <v>176</v>
      </c>
      <c r="D44" s="2" t="s">
        <v>177</v>
      </c>
      <c r="E44" s="2" t="s">
        <v>178</v>
      </c>
      <c r="F44" s="2" t="s">
        <v>555</v>
      </c>
      <c r="G44" s="2" t="s">
        <v>432</v>
      </c>
      <c r="H44" s="2">
        <v>24588</v>
      </c>
      <c r="I44" s="2" t="s">
        <v>179</v>
      </c>
      <c r="J44" s="2"/>
      <c r="K44" s="2"/>
      <c r="L44" s="2" t="s">
        <v>180</v>
      </c>
      <c r="M44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G65"/>
  <sheetViews>
    <sheetView workbookViewId="0">
      <selection activeCell="V37" sqref="V37"/>
    </sheetView>
  </sheetViews>
  <sheetFormatPr defaultRowHeight="15" x14ac:dyDescent="0.25"/>
  <cols>
    <col min="1" max="1" width="2.140625" customWidth="1"/>
    <col min="2" max="2" width="10.42578125" customWidth="1"/>
    <col min="3" max="3" width="6" customWidth="1"/>
    <col min="4" max="31" width="3" customWidth="1"/>
    <col min="32" max="32" width="2.5703125" customWidth="1"/>
    <col min="33" max="33" width="14.42578125" bestFit="1" customWidth="1"/>
  </cols>
  <sheetData>
    <row r="1" spans="2:33" x14ac:dyDescent="0.25"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</row>
    <row r="2" spans="2:33" ht="30" x14ac:dyDescent="0.25">
      <c r="B2" s="10" t="s">
        <v>542</v>
      </c>
      <c r="D2" s="7" t="s">
        <v>541</v>
      </c>
      <c r="AG2" s="7" t="s">
        <v>540</v>
      </c>
    </row>
    <row r="3" spans="2:33" x14ac:dyDescent="0.25">
      <c r="B3" t="s">
        <v>524</v>
      </c>
      <c r="D3" s="5">
        <f t="shared" ref="D3:D28" ca="1" si="0">COUNTIF(codeList,LEFT(E3)&amp;"*")</f>
        <v>8</v>
      </c>
      <c r="E3" s="9" t="str">
        <f t="array" aca="1" ref="E3:E28" ca="1">LEFT(
             INDEX(codeList,
                    SMALL(IF(LEFT(codeList)&lt;&gt;LEFT(OFFSET(codeList,-1,0)),
                                        ROW(codeList)-ROW($B$3)),
                                    ROW(INDIRECT("1:"&amp;$E$29)))+1
             )
   )</f>
        <v>A</v>
      </c>
      <c r="F3" s="4" t="str">
        <f t="array" aca="1" ref="F3:AE3" ca="1">RIGHT(
                TRANSPOSE(
                      INDEX(codeList,
                          SMALL(IF(LEFT(codeList)=$E3,
                                              ROW(codeList)-ROW(firstCode)+1
                                         ),
                                         ROW(INDIRECT("1:26"))
                          )
                      )
                )
  )</f>
        <v>A</v>
      </c>
      <c r="G3" s="4" t="str">
        <f ca="1"/>
        <v>E</v>
      </c>
      <c r="H3" s="4" t="str">
        <f ca="1"/>
        <v>K</v>
      </c>
      <c r="I3" s="4" t="str">
        <f ca="1"/>
        <v>L</v>
      </c>
      <c r="J3" s="4" t="str">
        <f ca="1"/>
        <v>P</v>
      </c>
      <c r="K3" s="4" t="str">
        <f ca="1"/>
        <v>R</v>
      </c>
      <c r="L3" s="4" t="str">
        <f ca="1"/>
        <v>S</v>
      </c>
      <c r="M3" s="4" t="str">
        <f ca="1"/>
        <v>Z</v>
      </c>
      <c r="N3" s="4" t="e">
        <f ca="1"/>
        <v>#NUM!</v>
      </c>
      <c r="O3" s="4" t="e">
        <f ca="1"/>
        <v>#NUM!</v>
      </c>
      <c r="P3" s="4" t="e">
        <f ca="1"/>
        <v>#NUM!</v>
      </c>
      <c r="Q3" s="4" t="e">
        <f ca="1"/>
        <v>#NUM!</v>
      </c>
      <c r="R3" s="4" t="e">
        <f ca="1"/>
        <v>#NUM!</v>
      </c>
      <c r="S3" s="4" t="e">
        <f ca="1"/>
        <v>#NUM!</v>
      </c>
      <c r="T3" s="4" t="e">
        <f ca="1"/>
        <v>#NUM!</v>
      </c>
      <c r="U3" s="4" t="e">
        <f ca="1"/>
        <v>#NUM!</v>
      </c>
      <c r="V3" s="4" t="e">
        <f ca="1"/>
        <v>#NUM!</v>
      </c>
      <c r="W3" s="4" t="e">
        <f ca="1"/>
        <v>#NUM!</v>
      </c>
      <c r="X3" s="4" t="e">
        <f ca="1"/>
        <v>#NUM!</v>
      </c>
      <c r="Y3" s="4" t="e">
        <f ca="1"/>
        <v>#NUM!</v>
      </c>
      <c r="Z3" s="4" t="e">
        <f ca="1"/>
        <v>#NUM!</v>
      </c>
      <c r="AA3" s="4" t="e">
        <f ca="1"/>
        <v>#NUM!</v>
      </c>
      <c r="AB3" s="4" t="e">
        <f ca="1"/>
        <v>#NUM!</v>
      </c>
      <c r="AC3" s="4" t="e">
        <f ca="1"/>
        <v>#NUM!</v>
      </c>
      <c r="AD3" s="4" t="e">
        <f ca="1"/>
        <v>#NUM!</v>
      </c>
      <c r="AE3" s="4" t="e">
        <f ca="1"/>
        <v>#NUM!</v>
      </c>
      <c r="AG3" s="8" t="str">
        <f ca="1">IFERROR(E3&amp;"["&amp;concatcells(F3:AE3)&amp;"]","")</f>
        <v>A[AEKLPRSZ]</v>
      </c>
    </row>
    <row r="4" spans="2:33" x14ac:dyDescent="0.25">
      <c r="B4" t="s">
        <v>526</v>
      </c>
      <c r="D4" s="5">
        <f t="shared" ca="1" si="0"/>
        <v>6</v>
      </c>
      <c r="E4" s="9" t="str">
        <f ca="1"/>
        <v>C</v>
      </c>
      <c r="F4" s="4" t="str">
        <f t="array" aca="1" ref="F4:AE4" ca="1">RIGHT(
                TRANSPOSE(
                      INDEX(codeList,
                          SMALL(IF(LEFT(codeList)=$E4,
                                              ROW(codeList)-ROW(firstCode)+1
                                         ),
                                         ROW(INDIRECT("1:26"))
                          )
                      )
                )
  )</f>
        <v>A</v>
      </c>
      <c r="G4" s="4" t="str">
        <f ca="1"/>
        <v>M</v>
      </c>
      <c r="H4" s="4" t="str">
        <f ca="1"/>
        <v>M</v>
      </c>
      <c r="I4" s="4" t="str">
        <f ca="1"/>
        <v>O</v>
      </c>
      <c r="J4" s="4" t="str">
        <f ca="1"/>
        <v>T</v>
      </c>
      <c r="K4" s="4" t="str">
        <f ca="1"/>
        <v>Z</v>
      </c>
      <c r="L4" s="4" t="e">
        <f ca="1"/>
        <v>#NUM!</v>
      </c>
      <c r="M4" s="4" t="e">
        <f ca="1"/>
        <v>#NUM!</v>
      </c>
      <c r="N4" s="4" t="e">
        <f ca="1"/>
        <v>#NUM!</v>
      </c>
      <c r="O4" s="4" t="e">
        <f ca="1"/>
        <v>#NUM!</v>
      </c>
      <c r="P4" s="4" t="e">
        <f ca="1"/>
        <v>#NUM!</v>
      </c>
      <c r="Q4" s="4" t="e">
        <f ca="1"/>
        <v>#NUM!</v>
      </c>
      <c r="R4" s="4" t="e">
        <f ca="1"/>
        <v>#NUM!</v>
      </c>
      <c r="S4" s="4" t="e">
        <f ca="1"/>
        <v>#NUM!</v>
      </c>
      <c r="T4" s="4" t="e">
        <f ca="1"/>
        <v>#NUM!</v>
      </c>
      <c r="U4" s="4" t="e">
        <f ca="1"/>
        <v>#NUM!</v>
      </c>
      <c r="V4" s="4" t="e">
        <f ca="1"/>
        <v>#NUM!</v>
      </c>
      <c r="W4" s="4" t="e">
        <f ca="1"/>
        <v>#NUM!</v>
      </c>
      <c r="X4" s="4" t="e">
        <f ca="1"/>
        <v>#NUM!</v>
      </c>
      <c r="Y4" s="4" t="e">
        <f ca="1"/>
        <v>#NUM!</v>
      </c>
      <c r="Z4" s="4" t="e">
        <f ca="1"/>
        <v>#NUM!</v>
      </c>
      <c r="AA4" s="4" t="e">
        <f ca="1"/>
        <v>#NUM!</v>
      </c>
      <c r="AB4" s="4" t="e">
        <f ca="1"/>
        <v>#NUM!</v>
      </c>
      <c r="AC4" s="4" t="e">
        <f ca="1"/>
        <v>#NUM!</v>
      </c>
      <c r="AD4" s="4" t="e">
        <f ca="1"/>
        <v>#NUM!</v>
      </c>
      <c r="AE4" s="4" t="e">
        <f ca="1"/>
        <v>#NUM!</v>
      </c>
      <c r="AG4" s="8" t="str">
        <f t="shared" ref="AG4:AG22" ca="1" si="1">IFERROR(E4&amp;"["&amp;concatcells(F4:AE4)&amp;"]","")</f>
        <v>C[AMMOTZ]</v>
      </c>
    </row>
    <row r="5" spans="2:33" x14ac:dyDescent="0.25">
      <c r="B5" t="s">
        <v>213</v>
      </c>
      <c r="D5" s="5">
        <f t="shared" ca="1" si="0"/>
        <v>2</v>
      </c>
      <c r="E5" s="9" t="str">
        <f ca="1"/>
        <v>D</v>
      </c>
      <c r="F5" s="4" t="str">
        <f t="array" aca="1" ref="F5:AE5" ca="1">RIGHT(
                TRANSPOSE(
                      INDEX(codeList,
                          SMALL(IF(LEFT(codeList)=$E5,
                                              ROW(codeList)-ROW(firstCode)+1
                                         ),
                                         ROW(INDIRECT("1:26"))
                          )
                      )
                )
  )</f>
        <v>C</v>
      </c>
      <c r="G5" s="4" t="str">
        <f ca="1"/>
        <v>E</v>
      </c>
      <c r="H5" s="4" t="e">
        <f ca="1"/>
        <v>#NUM!</v>
      </c>
      <c r="I5" s="4" t="e">
        <f ca="1"/>
        <v>#NUM!</v>
      </c>
      <c r="J5" s="4" t="e">
        <f ca="1"/>
        <v>#NUM!</v>
      </c>
      <c r="K5" s="4" t="e">
        <f ca="1"/>
        <v>#NUM!</v>
      </c>
      <c r="L5" s="4" t="e">
        <f ca="1"/>
        <v>#NUM!</v>
      </c>
      <c r="M5" s="4" t="e">
        <f ca="1"/>
        <v>#NUM!</v>
      </c>
      <c r="N5" s="4" t="e">
        <f ca="1"/>
        <v>#NUM!</v>
      </c>
      <c r="O5" s="4" t="e">
        <f ca="1"/>
        <v>#NUM!</v>
      </c>
      <c r="P5" s="4" t="e">
        <f ca="1"/>
        <v>#NUM!</v>
      </c>
      <c r="Q5" s="4" t="e">
        <f ca="1"/>
        <v>#NUM!</v>
      </c>
      <c r="R5" s="4" t="e">
        <f ca="1"/>
        <v>#NUM!</v>
      </c>
      <c r="S5" s="4" t="e">
        <f ca="1"/>
        <v>#NUM!</v>
      </c>
      <c r="T5" s="4" t="e">
        <f ca="1"/>
        <v>#NUM!</v>
      </c>
      <c r="U5" s="4" t="e">
        <f ca="1"/>
        <v>#NUM!</v>
      </c>
      <c r="V5" s="4" t="e">
        <f ca="1"/>
        <v>#NUM!</v>
      </c>
      <c r="W5" s="4" t="e">
        <f ca="1"/>
        <v>#NUM!</v>
      </c>
      <c r="X5" s="4" t="e">
        <f ca="1"/>
        <v>#NUM!</v>
      </c>
      <c r="Y5" s="4" t="e">
        <f ca="1"/>
        <v>#NUM!</v>
      </c>
      <c r="Z5" s="4" t="e">
        <f ca="1"/>
        <v>#NUM!</v>
      </c>
      <c r="AA5" s="4" t="e">
        <f ca="1"/>
        <v>#NUM!</v>
      </c>
      <c r="AB5" s="4" t="e">
        <f ca="1"/>
        <v>#NUM!</v>
      </c>
      <c r="AC5" s="4" t="e">
        <f ca="1"/>
        <v>#NUM!</v>
      </c>
      <c r="AD5" s="4" t="e">
        <f ca="1"/>
        <v>#NUM!</v>
      </c>
      <c r="AE5" s="4" t="e">
        <f ca="1"/>
        <v>#NUM!</v>
      </c>
      <c r="AG5" s="8" t="str">
        <f t="shared" ca="1" si="1"/>
        <v>D[CE]</v>
      </c>
    </row>
    <row r="6" spans="2:33" x14ac:dyDescent="0.25">
      <c r="B6" t="s">
        <v>209</v>
      </c>
      <c r="D6" s="5">
        <f t="shared" ca="1" si="0"/>
        <v>1</v>
      </c>
      <c r="E6" s="9" t="str">
        <f ca="1"/>
        <v>F</v>
      </c>
      <c r="F6" s="4" t="str">
        <f t="array" aca="1" ref="F6:AE6" ca="1">RIGHT(
                TRANSPOSE(
                      INDEX(codeList,
                          SMALL(IF(LEFT(codeList)=$E6,
                                              ROW(codeList)-ROW(firstCode)+1
                                         ),
                                         ROW(INDIRECT("1:26"))
                          )
                      )
                )
  )</f>
        <v>L</v>
      </c>
      <c r="G6" s="4" t="e">
        <f ca="1"/>
        <v>#NUM!</v>
      </c>
      <c r="H6" s="4" t="e">
        <f ca="1"/>
        <v>#NUM!</v>
      </c>
      <c r="I6" s="4" t="e">
        <f ca="1"/>
        <v>#NUM!</v>
      </c>
      <c r="J6" s="4" t="e">
        <f ca="1"/>
        <v>#NUM!</v>
      </c>
      <c r="K6" s="4" t="e">
        <f ca="1"/>
        <v>#NUM!</v>
      </c>
      <c r="L6" s="4" t="e">
        <f ca="1"/>
        <v>#NUM!</v>
      </c>
      <c r="M6" s="4" t="e">
        <f ca="1"/>
        <v>#NUM!</v>
      </c>
      <c r="N6" s="4" t="e">
        <f ca="1"/>
        <v>#NUM!</v>
      </c>
      <c r="O6" s="4" t="e">
        <f ca="1"/>
        <v>#NUM!</v>
      </c>
      <c r="P6" s="4" t="e">
        <f ca="1"/>
        <v>#NUM!</v>
      </c>
      <c r="Q6" s="4" t="e">
        <f ca="1"/>
        <v>#NUM!</v>
      </c>
      <c r="R6" s="4" t="e">
        <f ca="1"/>
        <v>#NUM!</v>
      </c>
      <c r="S6" s="4" t="e">
        <f ca="1"/>
        <v>#NUM!</v>
      </c>
      <c r="T6" s="4" t="e">
        <f ca="1"/>
        <v>#NUM!</v>
      </c>
      <c r="U6" s="4" t="e">
        <f ca="1"/>
        <v>#NUM!</v>
      </c>
      <c r="V6" s="4" t="e">
        <f ca="1"/>
        <v>#NUM!</v>
      </c>
      <c r="W6" s="4" t="e">
        <f ca="1"/>
        <v>#NUM!</v>
      </c>
      <c r="X6" s="4" t="e">
        <f ca="1"/>
        <v>#NUM!</v>
      </c>
      <c r="Y6" s="4" t="e">
        <f ca="1"/>
        <v>#NUM!</v>
      </c>
      <c r="Z6" s="4" t="e">
        <f ca="1"/>
        <v>#NUM!</v>
      </c>
      <c r="AA6" s="4" t="e">
        <f ca="1"/>
        <v>#NUM!</v>
      </c>
      <c r="AB6" s="4" t="e">
        <f ca="1"/>
        <v>#NUM!</v>
      </c>
      <c r="AC6" s="4" t="e">
        <f ca="1"/>
        <v>#NUM!</v>
      </c>
      <c r="AD6" s="4" t="e">
        <f ca="1"/>
        <v>#NUM!</v>
      </c>
      <c r="AE6" s="4" t="e">
        <f ca="1"/>
        <v>#NUM!</v>
      </c>
      <c r="AG6" s="8" t="str">
        <f t="shared" ca="1" si="1"/>
        <v>F[L]</v>
      </c>
    </row>
    <row r="7" spans="2:33" x14ac:dyDescent="0.25">
      <c r="B7" t="s">
        <v>528</v>
      </c>
      <c r="D7" s="5">
        <f t="shared" ca="1" si="0"/>
        <v>2</v>
      </c>
      <c r="E7" s="9" t="str">
        <f ca="1"/>
        <v>G</v>
      </c>
      <c r="F7" s="4" t="str">
        <f t="array" aca="1" ref="F7:AE7" ca="1">RIGHT(
                TRANSPOSE(
                      INDEX(codeList,
                          SMALL(IF(LEFT(codeList)=$E7,
                                              ROW(codeList)-ROW(firstCode)+1
                                         ),
                                         ROW(INDIRECT("1:26"))
                          )
                      )
                )
  )</f>
        <v>A</v>
      </c>
      <c r="G7" s="4" t="str">
        <f ca="1"/>
        <v>U</v>
      </c>
      <c r="H7" s="4" t="e">
        <f ca="1"/>
        <v>#NUM!</v>
      </c>
      <c r="I7" s="4" t="e">
        <f ca="1"/>
        <v>#NUM!</v>
      </c>
      <c r="J7" s="4" t="e">
        <f ca="1"/>
        <v>#NUM!</v>
      </c>
      <c r="K7" s="4" t="e">
        <f ca="1"/>
        <v>#NUM!</v>
      </c>
      <c r="L7" s="4" t="e">
        <f ca="1"/>
        <v>#NUM!</v>
      </c>
      <c r="M7" s="4" t="e">
        <f ca="1"/>
        <v>#NUM!</v>
      </c>
      <c r="N7" s="4" t="e">
        <f ca="1"/>
        <v>#NUM!</v>
      </c>
      <c r="O7" s="4" t="e">
        <f ca="1"/>
        <v>#NUM!</v>
      </c>
      <c r="P7" s="4" t="e">
        <f ca="1"/>
        <v>#NUM!</v>
      </c>
      <c r="Q7" s="4" t="e">
        <f ca="1"/>
        <v>#NUM!</v>
      </c>
      <c r="R7" s="4" t="e">
        <f ca="1"/>
        <v>#NUM!</v>
      </c>
      <c r="S7" s="4" t="e">
        <f ca="1"/>
        <v>#NUM!</v>
      </c>
      <c r="T7" s="4" t="e">
        <f ca="1"/>
        <v>#NUM!</v>
      </c>
      <c r="U7" s="4" t="e">
        <f ca="1"/>
        <v>#NUM!</v>
      </c>
      <c r="V7" s="4" t="e">
        <f ca="1"/>
        <v>#NUM!</v>
      </c>
      <c r="W7" s="4" t="e">
        <f ca="1"/>
        <v>#NUM!</v>
      </c>
      <c r="X7" s="4" t="e">
        <f ca="1"/>
        <v>#NUM!</v>
      </c>
      <c r="Y7" s="4" t="e">
        <f ca="1"/>
        <v>#NUM!</v>
      </c>
      <c r="Z7" s="4" t="e">
        <f ca="1"/>
        <v>#NUM!</v>
      </c>
      <c r="AA7" s="4" t="e">
        <f ca="1"/>
        <v>#NUM!</v>
      </c>
      <c r="AB7" s="4" t="e">
        <f ca="1"/>
        <v>#NUM!</v>
      </c>
      <c r="AC7" s="4" t="e">
        <f ca="1"/>
        <v>#NUM!</v>
      </c>
      <c r="AD7" s="4" t="e">
        <f ca="1"/>
        <v>#NUM!</v>
      </c>
      <c r="AE7" s="4" t="e">
        <f ca="1"/>
        <v>#NUM!</v>
      </c>
      <c r="AG7" s="8" t="str">
        <f t="shared" ca="1" si="1"/>
        <v>G[AU]</v>
      </c>
    </row>
    <row r="8" spans="2:33" x14ac:dyDescent="0.25">
      <c r="B8" t="s">
        <v>222</v>
      </c>
      <c r="D8" s="5">
        <f t="shared" ca="1" si="0"/>
        <v>1</v>
      </c>
      <c r="E8" s="9" t="str">
        <f ca="1"/>
        <v>H</v>
      </c>
      <c r="F8" s="4" t="str">
        <f t="array" aca="1" ref="F8:AE8" ca="1">RIGHT(
                TRANSPOSE(
                      INDEX(codeList,
                          SMALL(IF(LEFT(codeList)=$E8,
                                              ROW(codeList)-ROW(firstCode)+1
                                         ),
                                         ROW(INDIRECT("1:26"))
                          )
                      )
                )
  )</f>
        <v>I</v>
      </c>
      <c r="G8" s="4" t="e">
        <f ca="1"/>
        <v>#NUM!</v>
      </c>
      <c r="H8" s="4" t="e">
        <f ca="1"/>
        <v>#NUM!</v>
      </c>
      <c r="I8" s="4" t="e">
        <f ca="1"/>
        <v>#NUM!</v>
      </c>
      <c r="J8" s="4" t="e">
        <f ca="1"/>
        <v>#NUM!</v>
      </c>
      <c r="K8" s="4" t="e">
        <f ca="1"/>
        <v>#NUM!</v>
      </c>
      <c r="L8" s="4" t="e">
        <f ca="1"/>
        <v>#NUM!</v>
      </c>
      <c r="M8" s="4" t="e">
        <f ca="1"/>
        <v>#NUM!</v>
      </c>
      <c r="N8" s="4" t="e">
        <f ca="1"/>
        <v>#NUM!</v>
      </c>
      <c r="O8" s="4" t="e">
        <f ca="1"/>
        <v>#NUM!</v>
      </c>
      <c r="P8" s="4" t="e">
        <f ca="1"/>
        <v>#NUM!</v>
      </c>
      <c r="Q8" s="4" t="e">
        <f ca="1"/>
        <v>#NUM!</v>
      </c>
      <c r="R8" s="4" t="e">
        <f ca="1"/>
        <v>#NUM!</v>
      </c>
      <c r="S8" s="4" t="e">
        <f ca="1"/>
        <v>#NUM!</v>
      </c>
      <c r="T8" s="4" t="e">
        <f ca="1"/>
        <v>#NUM!</v>
      </c>
      <c r="U8" s="4" t="e">
        <f ca="1"/>
        <v>#NUM!</v>
      </c>
      <c r="V8" s="4" t="e">
        <f ca="1"/>
        <v>#NUM!</v>
      </c>
      <c r="W8" s="4" t="e">
        <f ca="1"/>
        <v>#NUM!</v>
      </c>
      <c r="X8" s="4" t="e">
        <f ca="1"/>
        <v>#NUM!</v>
      </c>
      <c r="Y8" s="4" t="e">
        <f ca="1"/>
        <v>#NUM!</v>
      </c>
      <c r="Z8" s="4" t="e">
        <f ca="1"/>
        <v>#NUM!</v>
      </c>
      <c r="AA8" s="4" t="e">
        <f ca="1"/>
        <v>#NUM!</v>
      </c>
      <c r="AB8" s="4" t="e">
        <f ca="1"/>
        <v>#NUM!</v>
      </c>
      <c r="AC8" s="4" t="e">
        <f ca="1"/>
        <v>#NUM!</v>
      </c>
      <c r="AD8" s="4" t="e">
        <f ca="1"/>
        <v>#NUM!</v>
      </c>
      <c r="AE8" s="4" t="e">
        <f ca="1"/>
        <v>#NUM!</v>
      </c>
      <c r="AG8" s="8" t="str">
        <f t="shared" ca="1" si="1"/>
        <v>H[I]</v>
      </c>
    </row>
    <row r="9" spans="2:33" x14ac:dyDescent="0.25">
      <c r="B9" t="s">
        <v>460</v>
      </c>
      <c r="D9" s="5">
        <f t="shared" ca="1" si="0"/>
        <v>4</v>
      </c>
      <c r="E9" s="9" t="str">
        <f ca="1"/>
        <v>I</v>
      </c>
      <c r="F9" s="4" t="str">
        <f t="array" aca="1" ref="F9:AE9" ca="1">RIGHT(
                TRANSPOSE(
                      INDEX(codeList,
                          SMALL(IF(LEFT(codeList)=$E9,
                                              ROW(codeList)-ROW(firstCode)+1
                                         ),
                                         ROW(INDIRECT("1:26"))
                          )
                      )
                )
  )</f>
        <v>A</v>
      </c>
      <c r="G9" s="4" t="str">
        <f ca="1"/>
        <v>D</v>
      </c>
      <c r="H9" s="4" t="str">
        <f ca="1"/>
        <v>L</v>
      </c>
      <c r="I9" s="4" t="str">
        <f ca="1"/>
        <v>N</v>
      </c>
      <c r="J9" s="4" t="e">
        <f ca="1"/>
        <v>#NUM!</v>
      </c>
      <c r="K9" s="4" t="e">
        <f ca="1"/>
        <v>#NUM!</v>
      </c>
      <c r="L9" s="4" t="e">
        <f ca="1"/>
        <v>#NUM!</v>
      </c>
      <c r="M9" s="4" t="e">
        <f ca="1"/>
        <v>#NUM!</v>
      </c>
      <c r="N9" s="4" t="e">
        <f ca="1"/>
        <v>#NUM!</v>
      </c>
      <c r="O9" s="4" t="e">
        <f ca="1"/>
        <v>#NUM!</v>
      </c>
      <c r="P9" s="4" t="e">
        <f ca="1"/>
        <v>#NUM!</v>
      </c>
      <c r="Q9" s="4" t="e">
        <f ca="1"/>
        <v>#NUM!</v>
      </c>
      <c r="R9" s="4" t="e">
        <f ca="1"/>
        <v>#NUM!</v>
      </c>
      <c r="S9" s="4" t="e">
        <f ca="1"/>
        <v>#NUM!</v>
      </c>
      <c r="T9" s="4" t="e">
        <f ca="1"/>
        <v>#NUM!</v>
      </c>
      <c r="U9" s="4" t="e">
        <f ca="1"/>
        <v>#NUM!</v>
      </c>
      <c r="V9" s="4" t="e">
        <f ca="1"/>
        <v>#NUM!</v>
      </c>
      <c r="W9" s="4" t="e">
        <f ca="1"/>
        <v>#NUM!</v>
      </c>
      <c r="X9" s="4" t="e">
        <f ca="1"/>
        <v>#NUM!</v>
      </c>
      <c r="Y9" s="4" t="e">
        <f ca="1"/>
        <v>#NUM!</v>
      </c>
      <c r="Z9" s="4" t="e">
        <f ca="1"/>
        <v>#NUM!</v>
      </c>
      <c r="AA9" s="4" t="e">
        <f ca="1"/>
        <v>#NUM!</v>
      </c>
      <c r="AB9" s="4" t="e">
        <f ca="1"/>
        <v>#NUM!</v>
      </c>
      <c r="AC9" s="4" t="e">
        <f ca="1"/>
        <v>#NUM!</v>
      </c>
      <c r="AD9" s="4" t="e">
        <f ca="1"/>
        <v>#NUM!</v>
      </c>
      <c r="AE9" s="4" t="e">
        <f ca="1"/>
        <v>#NUM!</v>
      </c>
      <c r="AG9" s="8" t="str">
        <f t="shared" ca="1" si="1"/>
        <v>I[ADLN]</v>
      </c>
    </row>
    <row r="10" spans="2:33" x14ac:dyDescent="0.25">
      <c r="B10" t="s">
        <v>217</v>
      </c>
      <c r="D10" s="5">
        <f t="shared" ca="1" si="0"/>
        <v>2</v>
      </c>
      <c r="E10" s="9" t="str">
        <f ca="1"/>
        <v>K</v>
      </c>
      <c r="F10" s="4" t="str">
        <f t="array" aca="1" ref="F10:AE10" ca="1">RIGHT(
                TRANSPOSE(
                      INDEX(codeList,
                          SMALL(IF(LEFT(codeList)=$E10,
                                              ROW(codeList)-ROW(firstCode)+1
                                         ),
                                         ROW(INDIRECT("1:26"))
                          )
                      )
                )
  )</f>
        <v>S</v>
      </c>
      <c r="G10" s="4" t="str">
        <f ca="1"/>
        <v>Y</v>
      </c>
      <c r="H10" s="4" t="e">
        <f ca="1"/>
        <v>#NUM!</v>
      </c>
      <c r="I10" s="4" t="e">
        <f ca="1"/>
        <v>#NUM!</v>
      </c>
      <c r="J10" s="4" t="e">
        <f ca="1"/>
        <v>#NUM!</v>
      </c>
      <c r="K10" s="4" t="e">
        <f ca="1"/>
        <v>#NUM!</v>
      </c>
      <c r="L10" s="4" t="e">
        <f ca="1"/>
        <v>#NUM!</v>
      </c>
      <c r="M10" s="4" t="e">
        <f ca="1"/>
        <v>#NUM!</v>
      </c>
      <c r="N10" s="4" t="e">
        <f ca="1"/>
        <v>#NUM!</v>
      </c>
      <c r="O10" s="4" t="e">
        <f ca="1"/>
        <v>#NUM!</v>
      </c>
      <c r="P10" s="4" t="e">
        <f ca="1"/>
        <v>#NUM!</v>
      </c>
      <c r="Q10" s="4" t="e">
        <f ca="1"/>
        <v>#NUM!</v>
      </c>
      <c r="R10" s="4" t="e">
        <f ca="1"/>
        <v>#NUM!</v>
      </c>
      <c r="S10" s="4" t="e">
        <f ca="1"/>
        <v>#NUM!</v>
      </c>
      <c r="T10" s="4" t="e">
        <f ca="1"/>
        <v>#NUM!</v>
      </c>
      <c r="U10" s="4" t="e">
        <f ca="1"/>
        <v>#NUM!</v>
      </c>
      <c r="V10" s="4" t="e">
        <f ca="1"/>
        <v>#NUM!</v>
      </c>
      <c r="W10" s="4" t="e">
        <f ca="1"/>
        <v>#NUM!</v>
      </c>
      <c r="X10" s="4" t="e">
        <f ca="1"/>
        <v>#NUM!</v>
      </c>
      <c r="Y10" s="4" t="e">
        <f ca="1"/>
        <v>#NUM!</v>
      </c>
      <c r="Z10" s="4" t="e">
        <f ca="1"/>
        <v>#NUM!</v>
      </c>
      <c r="AA10" s="4" t="e">
        <f ca="1"/>
        <v>#NUM!</v>
      </c>
      <c r="AB10" s="4" t="e">
        <f ca="1"/>
        <v>#NUM!</v>
      </c>
      <c r="AC10" s="4" t="e">
        <f ca="1"/>
        <v>#NUM!</v>
      </c>
      <c r="AD10" s="4" t="e">
        <f ca="1"/>
        <v>#NUM!</v>
      </c>
      <c r="AE10" s="4" t="e">
        <f ca="1"/>
        <v>#NUM!</v>
      </c>
      <c r="AG10" s="8" t="str">
        <f t="shared" ca="1" si="1"/>
        <v>K[SY]</v>
      </c>
    </row>
    <row r="11" spans="2:33" x14ac:dyDescent="0.25">
      <c r="B11" t="s">
        <v>226</v>
      </c>
      <c r="D11" s="5">
        <f t="shared" ca="1" si="0"/>
        <v>1</v>
      </c>
      <c r="E11" s="9" t="str">
        <f ca="1"/>
        <v>L</v>
      </c>
      <c r="F11" s="4" t="str">
        <f t="array" aca="1" ref="F11:AE11" ca="1">RIGHT(
                TRANSPOSE(
                      INDEX(codeList,
                          SMALL(IF(LEFT(codeList)=$E11,
                                              ROW(codeList)-ROW(firstCode)+1
                                         ),
                                         ROW(INDIRECT("1:26"))
                          )
                      )
                )
  )</f>
        <v>A</v>
      </c>
      <c r="G11" s="4" t="e">
        <f ca="1"/>
        <v>#NUM!</v>
      </c>
      <c r="H11" s="4" t="e">
        <f ca="1"/>
        <v>#NUM!</v>
      </c>
      <c r="I11" s="4" t="e">
        <f ca="1"/>
        <v>#NUM!</v>
      </c>
      <c r="J11" s="4" t="e">
        <f ca="1"/>
        <v>#NUM!</v>
      </c>
      <c r="K11" s="4" t="e">
        <f ca="1"/>
        <v>#NUM!</v>
      </c>
      <c r="L11" s="4" t="e">
        <f ca="1"/>
        <v>#NUM!</v>
      </c>
      <c r="M11" s="4" t="e">
        <f ca="1"/>
        <v>#NUM!</v>
      </c>
      <c r="N11" s="4" t="e">
        <f ca="1"/>
        <v>#NUM!</v>
      </c>
      <c r="O11" s="4" t="e">
        <f ca="1"/>
        <v>#NUM!</v>
      </c>
      <c r="P11" s="4" t="e">
        <f ca="1"/>
        <v>#NUM!</v>
      </c>
      <c r="Q11" s="4" t="e">
        <f ca="1"/>
        <v>#NUM!</v>
      </c>
      <c r="R11" s="4" t="e">
        <f ca="1"/>
        <v>#NUM!</v>
      </c>
      <c r="S11" s="4" t="e">
        <f ca="1"/>
        <v>#NUM!</v>
      </c>
      <c r="T11" s="4" t="e">
        <f ca="1"/>
        <v>#NUM!</v>
      </c>
      <c r="U11" s="4" t="e">
        <f ca="1"/>
        <v>#NUM!</v>
      </c>
      <c r="V11" s="4" t="e">
        <f ca="1"/>
        <v>#NUM!</v>
      </c>
      <c r="W11" s="4" t="e">
        <f ca="1"/>
        <v>#NUM!</v>
      </c>
      <c r="X11" s="4" t="e">
        <f ca="1"/>
        <v>#NUM!</v>
      </c>
      <c r="Y11" s="4" t="e">
        <f ca="1"/>
        <v>#NUM!</v>
      </c>
      <c r="Z11" s="4" t="e">
        <f ca="1"/>
        <v>#NUM!</v>
      </c>
      <c r="AA11" s="4" t="e">
        <f ca="1"/>
        <v>#NUM!</v>
      </c>
      <c r="AB11" s="4" t="e">
        <f ca="1"/>
        <v>#NUM!</v>
      </c>
      <c r="AC11" s="4" t="e">
        <f ca="1"/>
        <v>#NUM!</v>
      </c>
      <c r="AD11" s="4" t="e">
        <f ca="1"/>
        <v>#NUM!</v>
      </c>
      <c r="AE11" s="4" t="e">
        <f ca="1"/>
        <v>#NUM!</v>
      </c>
      <c r="AG11" s="8" t="str">
        <f t="shared" ca="1" si="1"/>
        <v>L[A]</v>
      </c>
    </row>
    <row r="12" spans="2:33" x14ac:dyDescent="0.25">
      <c r="B12" t="s">
        <v>473</v>
      </c>
      <c r="D12" s="5">
        <f t="shared" ca="1" si="0"/>
        <v>8</v>
      </c>
      <c r="E12" s="9" t="str">
        <f ca="1"/>
        <v>M</v>
      </c>
      <c r="F12" s="4" t="str">
        <f t="array" aca="1" ref="F12:AE12" ca="1">RIGHT(
                TRANSPOSE(
                      INDEX(codeList,
                          SMALL(IF(LEFT(codeList)=$E12,
                                              ROW(codeList)-ROW(firstCode)+1
                                         ),
                                         ROW(INDIRECT("1:26"))
                          )
                      )
                )
  )</f>
        <v>A</v>
      </c>
      <c r="G12" s="4" t="str">
        <f ca="1"/>
        <v>D</v>
      </c>
      <c r="H12" s="4" t="str">
        <f ca="1"/>
        <v>E</v>
      </c>
      <c r="I12" s="4" t="str">
        <f ca="1"/>
        <v>I</v>
      </c>
      <c r="J12" s="4" t="str">
        <f ca="1"/>
        <v>N</v>
      </c>
      <c r="K12" s="4" t="str">
        <f ca="1"/>
        <v>O</v>
      </c>
      <c r="L12" s="4" t="str">
        <f ca="1"/>
        <v>S</v>
      </c>
      <c r="M12" s="4" t="str">
        <f ca="1"/>
        <v>T</v>
      </c>
      <c r="N12" s="4" t="e">
        <f ca="1"/>
        <v>#NUM!</v>
      </c>
      <c r="O12" s="4" t="e">
        <f ca="1"/>
        <v>#NUM!</v>
      </c>
      <c r="P12" s="4" t="e">
        <f ca="1"/>
        <v>#NUM!</v>
      </c>
      <c r="Q12" s="4" t="e">
        <f ca="1"/>
        <v>#NUM!</v>
      </c>
      <c r="R12" s="4" t="e">
        <f ca="1"/>
        <v>#NUM!</v>
      </c>
      <c r="S12" s="4" t="e">
        <f ca="1"/>
        <v>#NUM!</v>
      </c>
      <c r="T12" s="4" t="e">
        <f ca="1"/>
        <v>#NUM!</v>
      </c>
      <c r="U12" s="4" t="e">
        <f ca="1"/>
        <v>#NUM!</v>
      </c>
      <c r="V12" s="4" t="e">
        <f ca="1"/>
        <v>#NUM!</v>
      </c>
      <c r="W12" s="4" t="e">
        <f ca="1"/>
        <v>#NUM!</v>
      </c>
      <c r="X12" s="4" t="e">
        <f ca="1"/>
        <v>#NUM!</v>
      </c>
      <c r="Y12" s="4" t="e">
        <f ca="1"/>
        <v>#NUM!</v>
      </c>
      <c r="Z12" s="4" t="e">
        <f ca="1"/>
        <v>#NUM!</v>
      </c>
      <c r="AA12" s="4" t="e">
        <f ca="1"/>
        <v>#NUM!</v>
      </c>
      <c r="AB12" s="4" t="e">
        <f ca="1"/>
        <v>#NUM!</v>
      </c>
      <c r="AC12" s="4" t="e">
        <f ca="1"/>
        <v>#NUM!</v>
      </c>
      <c r="AD12" s="4" t="e">
        <f ca="1"/>
        <v>#NUM!</v>
      </c>
      <c r="AE12" s="4" t="e">
        <f ca="1"/>
        <v>#NUM!</v>
      </c>
      <c r="AG12" s="8" t="str">
        <f t="shared" ca="1" si="1"/>
        <v>M[ADEINOST]</v>
      </c>
    </row>
    <row r="13" spans="2:33" x14ac:dyDescent="0.25">
      <c r="B13" t="s">
        <v>473</v>
      </c>
      <c r="D13" s="5">
        <f t="shared" ca="1" si="0"/>
        <v>9</v>
      </c>
      <c r="E13" s="9" t="str">
        <f ca="1"/>
        <v>N</v>
      </c>
      <c r="F13" s="4" t="str">
        <f t="array" aca="1" ref="F13:AE13" ca="1">RIGHT(
                TRANSPOSE(
                      INDEX(codeList,
                          SMALL(IF(LEFT(codeList)=$E13,
                                              ROW(codeList)-ROW(firstCode)+1
                                         ),
                                         ROW(INDIRECT("1:26"))
                          )
                      )
                )
  )</f>
        <v>B</v>
      </c>
      <c r="G13" s="4" t="str">
        <f ca="1"/>
        <v>C</v>
      </c>
      <c r="H13" s="4" t="str">
        <f ca="1"/>
        <v>D</v>
      </c>
      <c r="I13" s="4" t="str">
        <f ca="1"/>
        <v>E</v>
      </c>
      <c r="J13" s="4" t="str">
        <f ca="1"/>
        <v>H</v>
      </c>
      <c r="K13" s="4" t="str">
        <f ca="1"/>
        <v>J</v>
      </c>
      <c r="L13" s="4" t="str">
        <f ca="1"/>
        <v>M</v>
      </c>
      <c r="M13" s="4" t="str">
        <f ca="1"/>
        <v>V</v>
      </c>
      <c r="N13" s="4" t="str">
        <f ca="1"/>
        <v>Y</v>
      </c>
      <c r="O13" s="4" t="e">
        <f ca="1"/>
        <v>#NUM!</v>
      </c>
      <c r="P13" s="4" t="e">
        <f ca="1"/>
        <v>#NUM!</v>
      </c>
      <c r="Q13" s="4" t="e">
        <f ca="1"/>
        <v>#NUM!</v>
      </c>
      <c r="R13" s="4" t="e">
        <f ca="1"/>
        <v>#NUM!</v>
      </c>
      <c r="S13" s="4" t="e">
        <f ca="1"/>
        <v>#NUM!</v>
      </c>
      <c r="T13" s="4" t="e">
        <f ca="1"/>
        <v>#NUM!</v>
      </c>
      <c r="U13" s="4" t="e">
        <f ca="1"/>
        <v>#NUM!</v>
      </c>
      <c r="V13" s="4" t="e">
        <f ca="1"/>
        <v>#NUM!</v>
      </c>
      <c r="W13" s="4" t="e">
        <f ca="1"/>
        <v>#NUM!</v>
      </c>
      <c r="X13" s="4" t="e">
        <f ca="1"/>
        <v>#NUM!</v>
      </c>
      <c r="Y13" s="4" t="e">
        <f ca="1"/>
        <v>#NUM!</v>
      </c>
      <c r="Z13" s="4" t="e">
        <f ca="1"/>
        <v>#NUM!</v>
      </c>
      <c r="AA13" s="4" t="e">
        <f ca="1"/>
        <v>#NUM!</v>
      </c>
      <c r="AB13" s="4" t="e">
        <f ca="1"/>
        <v>#NUM!</v>
      </c>
      <c r="AC13" s="4" t="e">
        <f ca="1"/>
        <v>#NUM!</v>
      </c>
      <c r="AD13" s="4" t="e">
        <f ca="1"/>
        <v>#NUM!</v>
      </c>
      <c r="AE13" s="4" t="e">
        <f ca="1"/>
        <v>#NUM!</v>
      </c>
      <c r="AG13" s="8" t="str">
        <f t="shared" ca="1" si="1"/>
        <v>N[BCDEHJMVY]</v>
      </c>
    </row>
    <row r="14" spans="2:33" x14ac:dyDescent="0.25">
      <c r="B14" t="s">
        <v>232</v>
      </c>
      <c r="D14" s="5">
        <f t="shared" ca="1" si="0"/>
        <v>3</v>
      </c>
      <c r="E14" s="9" t="str">
        <f ca="1"/>
        <v>O</v>
      </c>
      <c r="F14" s="4" t="str">
        <f t="array" aca="1" ref="F14:AE14" ca="1">RIGHT(
                TRANSPOSE(
                      INDEX(codeList,
                          SMALL(IF(LEFT(codeList)=$E14,
                                              ROW(codeList)-ROW(firstCode)+1
                                         ),
                                         ROW(INDIRECT("1:26"))
                          )
                      )
                )
  )</f>
        <v>H</v>
      </c>
      <c r="G14" s="4" t="str">
        <f ca="1"/>
        <v>K</v>
      </c>
      <c r="H14" s="4" t="str">
        <f ca="1"/>
        <v>R</v>
      </c>
      <c r="I14" s="4" t="e">
        <f ca="1"/>
        <v>#NUM!</v>
      </c>
      <c r="J14" s="4" t="e">
        <f ca="1"/>
        <v>#NUM!</v>
      </c>
      <c r="K14" s="4" t="e">
        <f ca="1"/>
        <v>#NUM!</v>
      </c>
      <c r="L14" s="4" t="e">
        <f ca="1"/>
        <v>#NUM!</v>
      </c>
      <c r="M14" s="4" t="e">
        <f ca="1"/>
        <v>#NUM!</v>
      </c>
      <c r="N14" s="4" t="e">
        <f ca="1"/>
        <v>#NUM!</v>
      </c>
      <c r="O14" s="4" t="e">
        <f ca="1"/>
        <v>#NUM!</v>
      </c>
      <c r="P14" s="4" t="e">
        <f ca="1"/>
        <v>#NUM!</v>
      </c>
      <c r="Q14" s="4" t="e">
        <f ca="1"/>
        <v>#NUM!</v>
      </c>
      <c r="R14" s="4" t="e">
        <f ca="1"/>
        <v>#NUM!</v>
      </c>
      <c r="S14" s="4" t="e">
        <f ca="1"/>
        <v>#NUM!</v>
      </c>
      <c r="T14" s="4" t="e">
        <f ca="1"/>
        <v>#NUM!</v>
      </c>
      <c r="U14" s="4" t="e">
        <f ca="1"/>
        <v>#NUM!</v>
      </c>
      <c r="V14" s="4" t="e">
        <f ca="1"/>
        <v>#NUM!</v>
      </c>
      <c r="W14" s="4" t="e">
        <f ca="1"/>
        <v>#NUM!</v>
      </c>
      <c r="X14" s="4" t="e">
        <f ca="1"/>
        <v>#NUM!</v>
      </c>
      <c r="Y14" s="4" t="e">
        <f ca="1"/>
        <v>#NUM!</v>
      </c>
      <c r="Z14" s="4" t="e">
        <f ca="1"/>
        <v>#NUM!</v>
      </c>
      <c r="AA14" s="4" t="e">
        <f ca="1"/>
        <v>#NUM!</v>
      </c>
      <c r="AB14" s="4" t="e">
        <f ca="1"/>
        <v>#NUM!</v>
      </c>
      <c r="AC14" s="4" t="e">
        <f ca="1"/>
        <v>#NUM!</v>
      </c>
      <c r="AD14" s="4" t="e">
        <f ca="1"/>
        <v>#NUM!</v>
      </c>
      <c r="AE14" s="4" t="e">
        <f ca="1"/>
        <v>#NUM!</v>
      </c>
      <c r="AG14" s="8" t="str">
        <f t="shared" ca="1" si="1"/>
        <v>O[HKR]</v>
      </c>
    </row>
    <row r="15" spans="2:33" x14ac:dyDescent="0.25">
      <c r="B15" t="s">
        <v>238</v>
      </c>
      <c r="D15" s="5">
        <f t="shared" ca="1" si="0"/>
        <v>2</v>
      </c>
      <c r="E15" s="9" t="str">
        <f ca="1"/>
        <v>P</v>
      </c>
      <c r="F15" s="4" t="str">
        <f t="array" aca="1" ref="F15:AE15" ca="1">RIGHT(
                TRANSPOSE(
                      INDEX(codeList,
                          SMALL(IF(LEFT(codeList)=$E15,
                                              ROW(codeList)-ROW(firstCode)+1
                                         ),
                                         ROW(INDIRECT("1:26"))
                          )
                      )
                )
  )</f>
        <v>A</v>
      </c>
      <c r="G15" s="4" t="str">
        <f ca="1"/>
        <v>R</v>
      </c>
      <c r="H15" s="4" t="e">
        <f ca="1"/>
        <v>#NUM!</v>
      </c>
      <c r="I15" s="4" t="e">
        <f ca="1"/>
        <v>#NUM!</v>
      </c>
      <c r="J15" s="4" t="e">
        <f ca="1"/>
        <v>#NUM!</v>
      </c>
      <c r="K15" s="4" t="e">
        <f ca="1"/>
        <v>#NUM!</v>
      </c>
      <c r="L15" s="4" t="e">
        <f ca="1"/>
        <v>#NUM!</v>
      </c>
      <c r="M15" s="4" t="e">
        <f ca="1"/>
        <v>#NUM!</v>
      </c>
      <c r="N15" s="4" t="e">
        <f ca="1"/>
        <v>#NUM!</v>
      </c>
      <c r="O15" s="4" t="e">
        <f ca="1"/>
        <v>#NUM!</v>
      </c>
      <c r="P15" s="4" t="e">
        <f ca="1"/>
        <v>#NUM!</v>
      </c>
      <c r="Q15" s="4" t="e">
        <f ca="1"/>
        <v>#NUM!</v>
      </c>
      <c r="R15" s="4" t="e">
        <f ca="1"/>
        <v>#NUM!</v>
      </c>
      <c r="S15" s="4" t="e">
        <f ca="1"/>
        <v>#NUM!</v>
      </c>
      <c r="T15" s="4" t="e">
        <f ca="1"/>
        <v>#NUM!</v>
      </c>
      <c r="U15" s="4" t="e">
        <f ca="1"/>
        <v>#NUM!</v>
      </c>
      <c r="V15" s="4" t="e">
        <f ca="1"/>
        <v>#NUM!</v>
      </c>
      <c r="W15" s="4" t="e">
        <f ca="1"/>
        <v>#NUM!</v>
      </c>
      <c r="X15" s="4" t="e">
        <f ca="1"/>
        <v>#NUM!</v>
      </c>
      <c r="Y15" s="4" t="e">
        <f ca="1"/>
        <v>#NUM!</v>
      </c>
      <c r="Z15" s="4" t="e">
        <f ca="1"/>
        <v>#NUM!</v>
      </c>
      <c r="AA15" s="4" t="e">
        <f ca="1"/>
        <v>#NUM!</v>
      </c>
      <c r="AB15" s="4" t="e">
        <f ca="1"/>
        <v>#NUM!</v>
      </c>
      <c r="AC15" s="4" t="e">
        <f ca="1"/>
        <v>#NUM!</v>
      </c>
      <c r="AD15" s="4" t="e">
        <f ca="1"/>
        <v>#NUM!</v>
      </c>
      <c r="AE15" s="4" t="e">
        <f ca="1"/>
        <v>#NUM!</v>
      </c>
      <c r="AG15" s="8" t="str">
        <f t="shared" ca="1" si="1"/>
        <v>P[AR]</v>
      </c>
    </row>
    <row r="16" spans="2:33" x14ac:dyDescent="0.25">
      <c r="B16" t="s">
        <v>532</v>
      </c>
      <c r="D16" s="5">
        <f t="shared" ca="1" si="0"/>
        <v>1</v>
      </c>
      <c r="E16" s="9" t="str">
        <f ca="1"/>
        <v>R</v>
      </c>
      <c r="F16" s="4" t="str">
        <f t="array" aca="1" ref="F16:AE16" ca="1">RIGHT(
                TRANSPOSE(
                      INDEX(codeList,
                          SMALL(IF(LEFT(codeList)=$E16,
                                              ROW(codeList)-ROW(firstCode)+1
                                         ),
                                         ROW(INDIRECT("1:26"))
                          )
                      )
                )
  )</f>
        <v>I</v>
      </c>
      <c r="G16" s="4" t="e">
        <f ca="1"/>
        <v>#NUM!</v>
      </c>
      <c r="H16" s="4" t="e">
        <f ca="1"/>
        <v>#NUM!</v>
      </c>
      <c r="I16" s="4" t="e">
        <f ca="1"/>
        <v>#NUM!</v>
      </c>
      <c r="J16" s="4" t="e">
        <f ca="1"/>
        <v>#NUM!</v>
      </c>
      <c r="K16" s="4" t="e">
        <f ca="1"/>
        <v>#NUM!</v>
      </c>
      <c r="L16" s="4" t="e">
        <f ca="1"/>
        <v>#NUM!</v>
      </c>
      <c r="M16" s="4" t="e">
        <f ca="1"/>
        <v>#NUM!</v>
      </c>
      <c r="N16" s="4" t="e">
        <f ca="1"/>
        <v>#NUM!</v>
      </c>
      <c r="O16" s="4" t="e">
        <f ca="1"/>
        <v>#NUM!</v>
      </c>
      <c r="P16" s="4" t="e">
        <f ca="1"/>
        <v>#NUM!</v>
      </c>
      <c r="Q16" s="4" t="e">
        <f ca="1"/>
        <v>#NUM!</v>
      </c>
      <c r="R16" s="4" t="e">
        <f ca="1"/>
        <v>#NUM!</v>
      </c>
      <c r="S16" s="4" t="e">
        <f ca="1"/>
        <v>#NUM!</v>
      </c>
      <c r="T16" s="4" t="e">
        <f ca="1"/>
        <v>#NUM!</v>
      </c>
      <c r="U16" s="4" t="e">
        <f ca="1"/>
        <v>#NUM!</v>
      </c>
      <c r="V16" s="4" t="e">
        <f ca="1"/>
        <v>#NUM!</v>
      </c>
      <c r="W16" s="4" t="e">
        <f ca="1"/>
        <v>#NUM!</v>
      </c>
      <c r="X16" s="4" t="e">
        <f ca="1"/>
        <v>#NUM!</v>
      </c>
      <c r="Y16" s="4" t="e">
        <f ca="1"/>
        <v>#NUM!</v>
      </c>
      <c r="Z16" s="4" t="e">
        <f ca="1"/>
        <v>#NUM!</v>
      </c>
      <c r="AA16" s="4" t="e">
        <f ca="1"/>
        <v>#NUM!</v>
      </c>
      <c r="AB16" s="4" t="e">
        <f ca="1"/>
        <v>#NUM!</v>
      </c>
      <c r="AC16" s="4" t="e">
        <f ca="1"/>
        <v>#NUM!</v>
      </c>
      <c r="AD16" s="4" t="e">
        <f ca="1"/>
        <v>#NUM!</v>
      </c>
      <c r="AE16" s="4" t="e">
        <f ca="1"/>
        <v>#NUM!</v>
      </c>
      <c r="AG16" s="8" t="str">
        <f t="shared" ca="1" si="1"/>
        <v>R[I]</v>
      </c>
    </row>
    <row r="17" spans="2:33" x14ac:dyDescent="0.25">
      <c r="B17" t="s">
        <v>250</v>
      </c>
      <c r="D17" s="5">
        <f t="shared" ca="1" si="0"/>
        <v>2</v>
      </c>
      <c r="E17" s="9" t="str">
        <f ca="1"/>
        <v>S</v>
      </c>
      <c r="F17" s="4" t="str">
        <f t="array" aca="1" ref="F17:AE17" ca="1">RIGHT(
                TRANSPOSE(
                      INDEX(codeList,
                          SMALL(IF(LEFT(codeList)=$E17,
                                              ROW(codeList)-ROW(firstCode)+1
                                         ),
                                         ROW(INDIRECT("1:26"))
                          )
                      )
                )
  )</f>
        <v>C</v>
      </c>
      <c r="G17" s="4" t="str">
        <f ca="1"/>
        <v>D</v>
      </c>
      <c r="H17" s="4" t="e">
        <f ca="1"/>
        <v>#NUM!</v>
      </c>
      <c r="I17" s="4" t="e">
        <f ca="1"/>
        <v>#NUM!</v>
      </c>
      <c r="J17" s="4" t="e">
        <f ca="1"/>
        <v>#NUM!</v>
      </c>
      <c r="K17" s="4" t="e">
        <f ca="1"/>
        <v>#NUM!</v>
      </c>
      <c r="L17" s="4" t="e">
        <f ca="1"/>
        <v>#NUM!</v>
      </c>
      <c r="M17" s="4" t="e">
        <f ca="1"/>
        <v>#NUM!</v>
      </c>
      <c r="N17" s="4" t="e">
        <f ca="1"/>
        <v>#NUM!</v>
      </c>
      <c r="O17" s="4" t="e">
        <f ca="1"/>
        <v>#NUM!</v>
      </c>
      <c r="P17" s="4" t="e">
        <f ca="1"/>
        <v>#NUM!</v>
      </c>
      <c r="Q17" s="4" t="e">
        <f ca="1"/>
        <v>#NUM!</v>
      </c>
      <c r="R17" s="4" t="e">
        <f ca="1"/>
        <v>#NUM!</v>
      </c>
      <c r="S17" s="4" t="e">
        <f ca="1"/>
        <v>#NUM!</v>
      </c>
      <c r="T17" s="4" t="e">
        <f ca="1"/>
        <v>#NUM!</v>
      </c>
      <c r="U17" s="4" t="e">
        <f ca="1"/>
        <v>#NUM!</v>
      </c>
      <c r="V17" s="4" t="e">
        <f ca="1"/>
        <v>#NUM!</v>
      </c>
      <c r="W17" s="4" t="e">
        <f ca="1"/>
        <v>#NUM!</v>
      </c>
      <c r="X17" s="4" t="e">
        <f ca="1"/>
        <v>#NUM!</v>
      </c>
      <c r="Y17" s="4" t="e">
        <f ca="1"/>
        <v>#NUM!</v>
      </c>
      <c r="Z17" s="4" t="e">
        <f ca="1"/>
        <v>#NUM!</v>
      </c>
      <c r="AA17" s="4" t="e">
        <f ca="1"/>
        <v>#NUM!</v>
      </c>
      <c r="AB17" s="4" t="e">
        <f ca="1"/>
        <v>#NUM!</v>
      </c>
      <c r="AC17" s="4" t="e">
        <f ca="1"/>
        <v>#NUM!</v>
      </c>
      <c r="AD17" s="4" t="e">
        <f ca="1"/>
        <v>#NUM!</v>
      </c>
      <c r="AE17" s="4" t="e">
        <f ca="1"/>
        <v>#NUM!</v>
      </c>
      <c r="AG17" s="8" t="str">
        <f t="shared" ca="1" si="1"/>
        <v>S[CD]</v>
      </c>
    </row>
    <row r="18" spans="2:33" x14ac:dyDescent="0.25">
      <c r="B18" t="s">
        <v>243</v>
      </c>
      <c r="D18" s="5">
        <f t="shared" ca="1" si="0"/>
        <v>3</v>
      </c>
      <c r="E18" s="9" t="str">
        <f ca="1"/>
        <v>T</v>
      </c>
      <c r="F18" s="4" t="str">
        <f t="array" aca="1" ref="F18:AE18" ca="1">RIGHT(
                TRANSPOSE(
                      INDEX(codeList,
                          SMALL(IF(LEFT(codeList)=$E18,
                                              ROW(codeList)-ROW(firstCode)+1
                                         ),
                                         ROW(INDIRECT("1:26"))
                          )
                      )
                )
  )</f>
        <v>N</v>
      </c>
      <c r="G18" s="4" t="str">
        <f ca="1"/>
        <v>T</v>
      </c>
      <c r="H18" s="4" t="str">
        <f ca="1"/>
        <v>X</v>
      </c>
      <c r="I18" s="4" t="e">
        <f ca="1"/>
        <v>#NUM!</v>
      </c>
      <c r="J18" s="4" t="e">
        <f ca="1"/>
        <v>#NUM!</v>
      </c>
      <c r="K18" s="4" t="e">
        <f ca="1"/>
        <v>#NUM!</v>
      </c>
      <c r="L18" s="4" t="e">
        <f ca="1"/>
        <v>#NUM!</v>
      </c>
      <c r="M18" s="4" t="e">
        <f ca="1"/>
        <v>#NUM!</v>
      </c>
      <c r="N18" s="4" t="e">
        <f ca="1"/>
        <v>#NUM!</v>
      </c>
      <c r="O18" s="4" t="e">
        <f ca="1"/>
        <v>#NUM!</v>
      </c>
      <c r="P18" s="4" t="e">
        <f ca="1"/>
        <v>#NUM!</v>
      </c>
      <c r="Q18" s="4" t="e">
        <f ca="1"/>
        <v>#NUM!</v>
      </c>
      <c r="R18" s="4" t="e">
        <f ca="1"/>
        <v>#NUM!</v>
      </c>
      <c r="S18" s="4" t="e">
        <f ca="1"/>
        <v>#NUM!</v>
      </c>
      <c r="T18" s="4" t="e">
        <f ca="1"/>
        <v>#NUM!</v>
      </c>
      <c r="U18" s="4" t="e">
        <f ca="1"/>
        <v>#NUM!</v>
      </c>
      <c r="V18" s="4" t="e">
        <f ca="1"/>
        <v>#NUM!</v>
      </c>
      <c r="W18" s="4" t="e">
        <f ca="1"/>
        <v>#NUM!</v>
      </c>
      <c r="X18" s="4" t="e">
        <f ca="1"/>
        <v>#NUM!</v>
      </c>
      <c r="Y18" s="4" t="e">
        <f ca="1"/>
        <v>#NUM!</v>
      </c>
      <c r="Z18" s="4" t="e">
        <f ca="1"/>
        <v>#NUM!</v>
      </c>
      <c r="AA18" s="4" t="e">
        <f ca="1"/>
        <v>#NUM!</v>
      </c>
      <c r="AB18" s="4" t="e">
        <f ca="1"/>
        <v>#NUM!</v>
      </c>
      <c r="AC18" s="4" t="e">
        <f ca="1"/>
        <v>#NUM!</v>
      </c>
      <c r="AD18" s="4" t="e">
        <f ca="1"/>
        <v>#NUM!</v>
      </c>
      <c r="AE18" s="4" t="e">
        <f ca="1"/>
        <v>#NUM!</v>
      </c>
      <c r="AG18" s="8" t="str">
        <f t="shared" ca="1" si="1"/>
        <v>T[NTX]</v>
      </c>
    </row>
    <row r="19" spans="2:33" x14ac:dyDescent="0.25">
      <c r="B19" t="s">
        <v>255</v>
      </c>
      <c r="D19" s="5">
        <f t="shared" ca="1" si="0"/>
        <v>1</v>
      </c>
      <c r="E19" s="9" t="str">
        <f ca="1"/>
        <v>U</v>
      </c>
      <c r="F19" s="4" t="str">
        <f t="array" aca="1" ref="F19:AE19" ca="1">RIGHT(
                TRANSPOSE(
                      INDEX(codeList,
                          SMALL(IF(LEFT(codeList)=$E19,
                                              ROW(codeList)-ROW(firstCode)+1
                                         ),
                                         ROW(INDIRECT("1:26"))
                          )
                      )
                )
  )</f>
        <v>T</v>
      </c>
      <c r="G19" s="4" t="e">
        <f ca="1"/>
        <v>#NUM!</v>
      </c>
      <c r="H19" s="4" t="e">
        <f ca="1"/>
        <v>#NUM!</v>
      </c>
      <c r="I19" s="4" t="e">
        <f ca="1"/>
        <v>#NUM!</v>
      </c>
      <c r="J19" s="4" t="e">
        <f ca="1"/>
        <v>#NUM!</v>
      </c>
      <c r="K19" s="4" t="e">
        <f ca="1"/>
        <v>#NUM!</v>
      </c>
      <c r="L19" s="4" t="e">
        <f ca="1"/>
        <v>#NUM!</v>
      </c>
      <c r="M19" s="4" t="e">
        <f ca="1"/>
        <v>#NUM!</v>
      </c>
      <c r="N19" s="4" t="e">
        <f ca="1"/>
        <v>#NUM!</v>
      </c>
      <c r="O19" s="4" t="e">
        <f ca="1"/>
        <v>#NUM!</v>
      </c>
      <c r="P19" s="4" t="e">
        <f ca="1"/>
        <v>#NUM!</v>
      </c>
      <c r="Q19" s="4" t="e">
        <f ca="1"/>
        <v>#NUM!</v>
      </c>
      <c r="R19" s="4" t="e">
        <f ca="1"/>
        <v>#NUM!</v>
      </c>
      <c r="S19" s="4" t="e">
        <f ca="1"/>
        <v>#NUM!</v>
      </c>
      <c r="T19" s="4" t="e">
        <f ca="1"/>
        <v>#NUM!</v>
      </c>
      <c r="U19" s="4" t="e">
        <f ca="1"/>
        <v>#NUM!</v>
      </c>
      <c r="V19" s="4" t="e">
        <f ca="1"/>
        <v>#NUM!</v>
      </c>
      <c r="W19" s="4" t="e">
        <f ca="1"/>
        <v>#NUM!</v>
      </c>
      <c r="X19" s="4" t="e">
        <f ca="1"/>
        <v>#NUM!</v>
      </c>
      <c r="Y19" s="4" t="e">
        <f ca="1"/>
        <v>#NUM!</v>
      </c>
      <c r="Z19" s="4" t="e">
        <f ca="1"/>
        <v>#NUM!</v>
      </c>
      <c r="AA19" s="4" t="e">
        <f ca="1"/>
        <v>#NUM!</v>
      </c>
      <c r="AB19" s="4" t="e">
        <f ca="1"/>
        <v>#NUM!</v>
      </c>
      <c r="AC19" s="4" t="e">
        <f ca="1"/>
        <v>#NUM!</v>
      </c>
      <c r="AD19" s="4" t="e">
        <f ca="1"/>
        <v>#NUM!</v>
      </c>
      <c r="AE19" s="4" t="e">
        <f ca="1"/>
        <v>#NUM!</v>
      </c>
      <c r="AG19" s="8" t="str">
        <f t="shared" ca="1" si="1"/>
        <v>U[T]</v>
      </c>
    </row>
    <row r="20" spans="2:33" x14ac:dyDescent="0.25">
      <c r="B20" t="s">
        <v>260</v>
      </c>
      <c r="D20" s="5">
        <f t="shared" ca="1" si="0"/>
        <v>3</v>
      </c>
      <c r="E20" s="9" t="str">
        <f ca="1"/>
        <v>V</v>
      </c>
      <c r="F20" s="4" t="str">
        <f t="array" aca="1" ref="F20:AE20" ca="1">RIGHT(
                TRANSPOSE(
                      INDEX(codeList,
                          SMALL(IF(LEFT(codeList)=$E20,
                                              ROW(codeList)-ROW(firstCode)+1
                                         ),
                                         ROW(INDIRECT("1:26"))
                          )
                      )
                )
  )</f>
        <v>A</v>
      </c>
      <c r="G20" s="4" t="str">
        <f ca="1"/>
        <v>I</v>
      </c>
      <c r="H20" s="4" t="str">
        <f ca="1"/>
        <v>T</v>
      </c>
      <c r="I20" s="4" t="e">
        <f ca="1"/>
        <v>#NUM!</v>
      </c>
      <c r="J20" s="4" t="e">
        <f ca="1"/>
        <v>#NUM!</v>
      </c>
      <c r="K20" s="4" t="e">
        <f ca="1"/>
        <v>#NUM!</v>
      </c>
      <c r="L20" s="4" t="e">
        <f ca="1"/>
        <v>#NUM!</v>
      </c>
      <c r="M20" s="4" t="e">
        <f ca="1"/>
        <v>#NUM!</v>
      </c>
      <c r="N20" s="4" t="e">
        <f ca="1"/>
        <v>#NUM!</v>
      </c>
      <c r="O20" s="4" t="e">
        <f ca="1"/>
        <v>#NUM!</v>
      </c>
      <c r="P20" s="4" t="e">
        <f ca="1"/>
        <v>#NUM!</v>
      </c>
      <c r="Q20" s="4" t="e">
        <f ca="1"/>
        <v>#NUM!</v>
      </c>
      <c r="R20" s="4" t="e">
        <f ca="1"/>
        <v>#NUM!</v>
      </c>
      <c r="S20" s="4" t="e">
        <f ca="1"/>
        <v>#NUM!</v>
      </c>
      <c r="T20" s="4" t="e">
        <f ca="1"/>
        <v>#NUM!</v>
      </c>
      <c r="U20" s="4" t="e">
        <f ca="1"/>
        <v>#NUM!</v>
      </c>
      <c r="V20" s="4" t="e">
        <f ca="1"/>
        <v>#NUM!</v>
      </c>
      <c r="W20" s="4" t="e">
        <f ca="1"/>
        <v>#NUM!</v>
      </c>
      <c r="X20" s="4" t="e">
        <f ca="1"/>
        <v>#NUM!</v>
      </c>
      <c r="Y20" s="4" t="e">
        <f ca="1"/>
        <v>#NUM!</v>
      </c>
      <c r="Z20" s="4" t="e">
        <f ca="1"/>
        <v>#NUM!</v>
      </c>
      <c r="AA20" s="4" t="e">
        <f ca="1"/>
        <v>#NUM!</v>
      </c>
      <c r="AB20" s="4" t="e">
        <f ca="1"/>
        <v>#NUM!</v>
      </c>
      <c r="AC20" s="4" t="e">
        <f ca="1"/>
        <v>#NUM!</v>
      </c>
      <c r="AD20" s="4" t="e">
        <f ca="1"/>
        <v>#NUM!</v>
      </c>
      <c r="AE20" s="4" t="e">
        <f ca="1"/>
        <v>#NUM!</v>
      </c>
      <c r="AG20" s="8" t="str">
        <f t="shared" ca="1" si="1"/>
        <v>V[AIT]</v>
      </c>
    </row>
    <row r="21" spans="2:33" x14ac:dyDescent="0.25">
      <c r="B21" t="s">
        <v>465</v>
      </c>
      <c r="D21" s="5">
        <f t="shared" ca="1" si="0"/>
        <v>4</v>
      </c>
      <c r="E21" s="9" t="str">
        <f ca="1"/>
        <v>W</v>
      </c>
      <c r="F21" s="4" t="str">
        <f t="array" aca="1" ref="F21:AE21" ca="1">RIGHT(
                TRANSPOSE(
                      INDEX(codeList,
                          SMALL(IF(LEFT(codeList)=$E21,
                                              ROW(codeList)-ROW(firstCode)+1
                                         ),
                                         ROW(INDIRECT("1:26"))
                          )
                      )
                )
  )</f>
        <v>A</v>
      </c>
      <c r="G21" s="4" t="str">
        <f ca="1"/>
        <v>I</v>
      </c>
      <c r="H21" s="4" t="str">
        <f ca="1"/>
        <v>V</v>
      </c>
      <c r="I21" s="4" t="str">
        <f ca="1"/>
        <v>Y</v>
      </c>
      <c r="J21" s="4" t="e">
        <f ca="1"/>
        <v>#NUM!</v>
      </c>
      <c r="K21" s="4" t="e">
        <f ca="1"/>
        <v>#NUM!</v>
      </c>
      <c r="L21" s="4" t="e">
        <f ca="1"/>
        <v>#NUM!</v>
      </c>
      <c r="M21" s="4" t="e">
        <f ca="1"/>
        <v>#NUM!</v>
      </c>
      <c r="N21" s="4" t="e">
        <f ca="1"/>
        <v>#NUM!</v>
      </c>
      <c r="O21" s="4" t="e">
        <f ca="1"/>
        <v>#NUM!</v>
      </c>
      <c r="P21" s="4" t="e">
        <f ca="1"/>
        <v>#NUM!</v>
      </c>
      <c r="Q21" s="4" t="e">
        <f ca="1"/>
        <v>#NUM!</v>
      </c>
      <c r="R21" s="4" t="e">
        <f ca="1"/>
        <v>#NUM!</v>
      </c>
      <c r="S21" s="4" t="e">
        <f ca="1"/>
        <v>#NUM!</v>
      </c>
      <c r="T21" s="4" t="e">
        <f ca="1"/>
        <v>#NUM!</v>
      </c>
      <c r="U21" s="4" t="e">
        <f ca="1"/>
        <v>#NUM!</v>
      </c>
      <c r="V21" s="4" t="e">
        <f ca="1"/>
        <v>#NUM!</v>
      </c>
      <c r="W21" s="4" t="e">
        <f ca="1"/>
        <v>#NUM!</v>
      </c>
      <c r="X21" s="4" t="e">
        <f ca="1"/>
        <v>#NUM!</v>
      </c>
      <c r="Y21" s="4" t="e">
        <f ca="1"/>
        <v>#NUM!</v>
      </c>
      <c r="Z21" s="4" t="e">
        <f ca="1"/>
        <v>#NUM!</v>
      </c>
      <c r="AA21" s="4" t="e">
        <f ca="1"/>
        <v>#NUM!</v>
      </c>
      <c r="AB21" s="4" t="e">
        <f ca="1"/>
        <v>#NUM!</v>
      </c>
      <c r="AC21" s="4" t="e">
        <f ca="1"/>
        <v>#NUM!</v>
      </c>
      <c r="AD21" s="4" t="e">
        <f ca="1"/>
        <v>#NUM!</v>
      </c>
      <c r="AE21" s="4" t="e">
        <f ca="1"/>
        <v>#NUM!</v>
      </c>
      <c r="AG21" s="8" t="str">
        <f t="shared" ca="1" si="1"/>
        <v>W[AIVY]</v>
      </c>
    </row>
    <row r="22" spans="2:33" x14ac:dyDescent="0.25">
      <c r="B22" t="s">
        <v>264</v>
      </c>
      <c r="D22" s="5">
        <f t="shared" ca="1" si="0"/>
        <v>0</v>
      </c>
      <c r="E22" s="9" t="e">
        <f ca="1"/>
        <v>#N/A</v>
      </c>
      <c r="F22" s="4" t="e">
        <f t="array" aca="1" ref="F22:AE22" ca="1">RIGHT(
                TRANSPOSE(
                      INDEX(codeList,
                          SMALL(IF(LEFT(codeList)=$E22,
                                              ROW(codeList)-ROW(firstCode)+1
                                         ),
                                         ROW(INDIRECT("1:26"))
                          )
                      )
                )
  )</f>
        <v>#N/A</v>
      </c>
      <c r="G22" s="4" t="e">
        <f ca="1"/>
        <v>#N/A</v>
      </c>
      <c r="H22" s="4" t="e">
        <f ca="1"/>
        <v>#N/A</v>
      </c>
      <c r="I22" s="4" t="e">
        <f ca="1"/>
        <v>#N/A</v>
      </c>
      <c r="J22" s="4" t="e">
        <f ca="1"/>
        <v>#N/A</v>
      </c>
      <c r="K22" s="4" t="e">
        <f ca="1"/>
        <v>#N/A</v>
      </c>
      <c r="L22" s="4" t="e">
        <f ca="1"/>
        <v>#N/A</v>
      </c>
      <c r="M22" s="4" t="e">
        <f ca="1"/>
        <v>#N/A</v>
      </c>
      <c r="N22" s="4" t="e">
        <f ca="1"/>
        <v>#N/A</v>
      </c>
      <c r="O22" s="4" t="e">
        <f ca="1"/>
        <v>#N/A</v>
      </c>
      <c r="P22" s="4" t="e">
        <f ca="1"/>
        <v>#N/A</v>
      </c>
      <c r="Q22" s="4" t="e">
        <f ca="1"/>
        <v>#N/A</v>
      </c>
      <c r="R22" s="4" t="e">
        <f ca="1"/>
        <v>#N/A</v>
      </c>
      <c r="S22" s="4" t="e">
        <f ca="1"/>
        <v>#N/A</v>
      </c>
      <c r="T22" s="4" t="e">
        <f ca="1"/>
        <v>#N/A</v>
      </c>
      <c r="U22" s="4" t="e">
        <f ca="1"/>
        <v>#N/A</v>
      </c>
      <c r="V22" s="4" t="e">
        <f ca="1"/>
        <v>#N/A</v>
      </c>
      <c r="W22" s="4" t="e">
        <f ca="1"/>
        <v>#N/A</v>
      </c>
      <c r="X22" s="4" t="e">
        <f ca="1"/>
        <v>#N/A</v>
      </c>
      <c r="Y22" s="4" t="e">
        <f ca="1"/>
        <v>#N/A</v>
      </c>
      <c r="Z22" s="4" t="e">
        <f ca="1"/>
        <v>#N/A</v>
      </c>
      <c r="AA22" s="4" t="e">
        <f ca="1"/>
        <v>#N/A</v>
      </c>
      <c r="AB22" s="4" t="e">
        <f ca="1"/>
        <v>#N/A</v>
      </c>
      <c r="AC22" s="4" t="e">
        <f ca="1"/>
        <v>#N/A</v>
      </c>
      <c r="AD22" s="4" t="e">
        <f ca="1"/>
        <v>#N/A</v>
      </c>
      <c r="AE22" s="4" t="e">
        <f ca="1"/>
        <v>#N/A</v>
      </c>
      <c r="AG22" s="8" t="str">
        <f t="shared" ca="1" si="1"/>
        <v/>
      </c>
    </row>
    <row r="23" spans="2:33" x14ac:dyDescent="0.25">
      <c r="B23" t="s">
        <v>283</v>
      </c>
      <c r="D23" s="5">
        <f t="shared" ca="1" si="0"/>
        <v>0</v>
      </c>
      <c r="E23" s="9" t="e">
        <f ca="1"/>
        <v>#N/A</v>
      </c>
      <c r="F23" s="4" t="e">
        <f t="array" aca="1" ref="F23:AE23" ca="1">RIGHT(
                TRANSPOSE(
                      INDEX(codeList,
                          SMALL(IF(LEFT(codeList)=$E23,
                                              ROW(codeList)-ROW(firstCode)+1
                                         ),
                                         ROW(INDIRECT("1:26"))
                          )
                      )
                )
  )</f>
        <v>#N/A</v>
      </c>
      <c r="G23" s="4" t="e">
        <f ca="1"/>
        <v>#N/A</v>
      </c>
      <c r="H23" s="4" t="e">
        <f ca="1"/>
        <v>#N/A</v>
      </c>
      <c r="I23" s="4" t="e">
        <f ca="1"/>
        <v>#N/A</v>
      </c>
      <c r="J23" s="4" t="e">
        <f ca="1"/>
        <v>#N/A</v>
      </c>
      <c r="K23" s="4" t="e">
        <f ca="1"/>
        <v>#N/A</v>
      </c>
      <c r="L23" s="4" t="e">
        <f ca="1"/>
        <v>#N/A</v>
      </c>
      <c r="M23" s="4" t="e">
        <f ca="1"/>
        <v>#N/A</v>
      </c>
      <c r="N23" s="4" t="e">
        <f ca="1"/>
        <v>#N/A</v>
      </c>
      <c r="O23" s="4" t="e">
        <f ca="1"/>
        <v>#N/A</v>
      </c>
      <c r="P23" s="4" t="e">
        <f ca="1"/>
        <v>#N/A</v>
      </c>
      <c r="Q23" s="4" t="e">
        <f ca="1"/>
        <v>#N/A</v>
      </c>
      <c r="R23" s="4" t="e">
        <f ca="1"/>
        <v>#N/A</v>
      </c>
      <c r="S23" s="4" t="e">
        <f ca="1"/>
        <v>#N/A</v>
      </c>
      <c r="T23" s="4" t="e">
        <f ca="1"/>
        <v>#N/A</v>
      </c>
      <c r="U23" s="4" t="e">
        <f ca="1"/>
        <v>#N/A</v>
      </c>
      <c r="V23" s="4" t="e">
        <f ca="1"/>
        <v>#N/A</v>
      </c>
      <c r="W23" s="4" t="e">
        <f ca="1"/>
        <v>#N/A</v>
      </c>
      <c r="X23" s="4" t="e">
        <f ca="1"/>
        <v>#N/A</v>
      </c>
      <c r="Y23" s="4" t="e">
        <f ca="1"/>
        <v>#N/A</v>
      </c>
      <c r="Z23" s="4" t="e">
        <f ca="1"/>
        <v>#N/A</v>
      </c>
      <c r="AA23" s="4" t="e">
        <f ca="1"/>
        <v>#N/A</v>
      </c>
      <c r="AB23" s="4" t="e">
        <f ca="1"/>
        <v>#N/A</v>
      </c>
      <c r="AC23" s="4" t="e">
        <f ca="1"/>
        <v>#N/A</v>
      </c>
      <c r="AD23" s="4" t="e">
        <f ca="1"/>
        <v>#N/A</v>
      </c>
      <c r="AE23" s="4" t="e">
        <f ca="1"/>
        <v>#N/A</v>
      </c>
      <c r="AG23" s="8" t="str">
        <f t="shared" ref="AG23:AG28" ca="1" si="2">IFERROR(E23&amp;"["&amp;concatcells(F23:AE23)&amp;"]","")</f>
        <v/>
      </c>
    </row>
    <row r="24" spans="2:33" x14ac:dyDescent="0.25">
      <c r="B24" t="s">
        <v>269</v>
      </c>
      <c r="D24" s="5">
        <f t="shared" ca="1" si="0"/>
        <v>0</v>
      </c>
      <c r="E24" s="9" t="e">
        <f ca="1"/>
        <v>#N/A</v>
      </c>
      <c r="F24" s="4" t="e">
        <f t="array" aca="1" ref="F24:AE24" ca="1">RIGHT(
                TRANSPOSE(
                      INDEX(codeList,
                          SMALL(IF(LEFT(codeList)=$E24,
                                              ROW(codeList)-ROW(firstCode)+1
                                         ),
                                         ROW(INDIRECT("1:26"))
                          )
                      )
                )
  )</f>
        <v>#N/A</v>
      </c>
      <c r="G24" s="4" t="e">
        <f ca="1"/>
        <v>#N/A</v>
      </c>
      <c r="H24" s="4" t="e">
        <f ca="1"/>
        <v>#N/A</v>
      </c>
      <c r="I24" s="4" t="e">
        <f ca="1"/>
        <v>#N/A</v>
      </c>
      <c r="J24" s="4" t="e">
        <f ca="1"/>
        <v>#N/A</v>
      </c>
      <c r="K24" s="4" t="e">
        <f ca="1"/>
        <v>#N/A</v>
      </c>
      <c r="L24" s="4" t="e">
        <f ca="1"/>
        <v>#N/A</v>
      </c>
      <c r="M24" s="4" t="e">
        <f ca="1"/>
        <v>#N/A</v>
      </c>
      <c r="N24" s="4" t="e">
        <f ca="1"/>
        <v>#N/A</v>
      </c>
      <c r="O24" s="4" t="e">
        <f ca="1"/>
        <v>#N/A</v>
      </c>
      <c r="P24" s="4" t="e">
        <f ca="1"/>
        <v>#N/A</v>
      </c>
      <c r="Q24" s="4" t="e">
        <f ca="1"/>
        <v>#N/A</v>
      </c>
      <c r="R24" s="4" t="e">
        <f ca="1"/>
        <v>#N/A</v>
      </c>
      <c r="S24" s="4" t="e">
        <f ca="1"/>
        <v>#N/A</v>
      </c>
      <c r="T24" s="4" t="e">
        <f ca="1"/>
        <v>#N/A</v>
      </c>
      <c r="U24" s="4" t="e">
        <f ca="1"/>
        <v>#N/A</v>
      </c>
      <c r="V24" s="4" t="e">
        <f ca="1"/>
        <v>#N/A</v>
      </c>
      <c r="W24" s="4" t="e">
        <f ca="1"/>
        <v>#N/A</v>
      </c>
      <c r="X24" s="4" t="e">
        <f ca="1"/>
        <v>#N/A</v>
      </c>
      <c r="Y24" s="4" t="e">
        <f ca="1"/>
        <v>#N/A</v>
      </c>
      <c r="Z24" s="4" t="e">
        <f ca="1"/>
        <v>#N/A</v>
      </c>
      <c r="AA24" s="4" t="e">
        <f ca="1"/>
        <v>#N/A</v>
      </c>
      <c r="AB24" s="4" t="e">
        <f ca="1"/>
        <v>#N/A</v>
      </c>
      <c r="AC24" s="4" t="e">
        <f ca="1"/>
        <v>#N/A</v>
      </c>
      <c r="AD24" s="4" t="e">
        <f ca="1"/>
        <v>#N/A</v>
      </c>
      <c r="AE24" s="4" t="e">
        <f ca="1"/>
        <v>#N/A</v>
      </c>
      <c r="AG24" s="8" t="str">
        <f t="shared" ca="1" si="2"/>
        <v/>
      </c>
    </row>
    <row r="25" spans="2:33" x14ac:dyDescent="0.25">
      <c r="B25" t="s">
        <v>273</v>
      </c>
      <c r="D25" s="5">
        <f t="shared" ca="1" si="0"/>
        <v>0</v>
      </c>
      <c r="E25" s="9" t="e">
        <f ca="1"/>
        <v>#N/A</v>
      </c>
      <c r="F25" s="4" t="e">
        <f t="array" aca="1" ref="F25:AE25" ca="1">RIGHT(
                TRANSPOSE(
                      INDEX(codeList,
                          SMALL(IF(LEFT(codeList)=$E25,
                                              ROW(codeList)-ROW(firstCode)+1
                                         ),
                                         ROW(INDIRECT("1:26"))
                          )
                      )
                )
  )</f>
        <v>#N/A</v>
      </c>
      <c r="G25" s="4" t="e">
        <f ca="1"/>
        <v>#N/A</v>
      </c>
      <c r="H25" s="4" t="e">
        <f ca="1"/>
        <v>#N/A</v>
      </c>
      <c r="I25" s="4" t="e">
        <f ca="1"/>
        <v>#N/A</v>
      </c>
      <c r="J25" s="4" t="e">
        <f ca="1"/>
        <v>#N/A</v>
      </c>
      <c r="K25" s="4" t="e">
        <f ca="1"/>
        <v>#N/A</v>
      </c>
      <c r="L25" s="4" t="e">
        <f ca="1"/>
        <v>#N/A</v>
      </c>
      <c r="M25" s="4" t="e">
        <f ca="1"/>
        <v>#N/A</v>
      </c>
      <c r="N25" s="4" t="e">
        <f ca="1"/>
        <v>#N/A</v>
      </c>
      <c r="O25" s="4" t="e">
        <f ca="1"/>
        <v>#N/A</v>
      </c>
      <c r="P25" s="4" t="e">
        <f ca="1"/>
        <v>#N/A</v>
      </c>
      <c r="Q25" s="4" t="e">
        <f ca="1"/>
        <v>#N/A</v>
      </c>
      <c r="R25" s="4" t="e">
        <f ca="1"/>
        <v>#N/A</v>
      </c>
      <c r="S25" s="4" t="e">
        <f ca="1"/>
        <v>#N/A</v>
      </c>
      <c r="T25" s="4" t="e">
        <f ca="1"/>
        <v>#N/A</v>
      </c>
      <c r="U25" s="4" t="e">
        <f ca="1"/>
        <v>#N/A</v>
      </c>
      <c r="V25" s="4" t="e">
        <f ca="1"/>
        <v>#N/A</v>
      </c>
      <c r="W25" s="4" t="e">
        <f ca="1"/>
        <v>#N/A</v>
      </c>
      <c r="X25" s="4" t="e">
        <f ca="1"/>
        <v>#N/A</v>
      </c>
      <c r="Y25" s="4" t="e">
        <f ca="1"/>
        <v>#N/A</v>
      </c>
      <c r="Z25" s="4" t="e">
        <f ca="1"/>
        <v>#N/A</v>
      </c>
      <c r="AA25" s="4" t="e">
        <f ca="1"/>
        <v>#N/A</v>
      </c>
      <c r="AB25" s="4" t="e">
        <f ca="1"/>
        <v>#N/A</v>
      </c>
      <c r="AC25" s="4" t="e">
        <f ca="1"/>
        <v>#N/A</v>
      </c>
      <c r="AD25" s="4" t="e">
        <f ca="1"/>
        <v>#N/A</v>
      </c>
      <c r="AE25" s="4" t="e">
        <f ca="1"/>
        <v>#N/A</v>
      </c>
      <c r="AG25" s="8" t="str">
        <f t="shared" ca="1" si="2"/>
        <v/>
      </c>
    </row>
    <row r="26" spans="2:33" x14ac:dyDescent="0.25">
      <c r="B26" t="s">
        <v>278</v>
      </c>
      <c r="D26" s="5">
        <f t="shared" ca="1" si="0"/>
        <v>0</v>
      </c>
      <c r="E26" s="9" t="e">
        <f ca="1"/>
        <v>#N/A</v>
      </c>
      <c r="F26" s="4" t="e">
        <f t="array" aca="1" ref="F26:AE26" ca="1">RIGHT(
                TRANSPOSE(
                      INDEX(codeList,
                          SMALL(IF(LEFT(codeList)=$E26,
                                              ROW(codeList)-ROW(firstCode)+1
                                         ),
                                         ROW(INDIRECT("1:26"))
                          )
                      )
                )
  )</f>
        <v>#N/A</v>
      </c>
      <c r="G26" s="4" t="e">
        <f ca="1"/>
        <v>#N/A</v>
      </c>
      <c r="H26" s="4" t="e">
        <f ca="1"/>
        <v>#N/A</v>
      </c>
      <c r="I26" s="4" t="e">
        <f ca="1"/>
        <v>#N/A</v>
      </c>
      <c r="J26" s="4" t="e">
        <f ca="1"/>
        <v>#N/A</v>
      </c>
      <c r="K26" s="4" t="e">
        <f ca="1"/>
        <v>#N/A</v>
      </c>
      <c r="L26" s="4" t="e">
        <f ca="1"/>
        <v>#N/A</v>
      </c>
      <c r="M26" s="4" t="e">
        <f ca="1"/>
        <v>#N/A</v>
      </c>
      <c r="N26" s="4" t="e">
        <f ca="1"/>
        <v>#N/A</v>
      </c>
      <c r="O26" s="4" t="e">
        <f ca="1"/>
        <v>#N/A</v>
      </c>
      <c r="P26" s="4" t="e">
        <f ca="1"/>
        <v>#N/A</v>
      </c>
      <c r="Q26" s="4" t="e">
        <f ca="1"/>
        <v>#N/A</v>
      </c>
      <c r="R26" s="4" t="e">
        <f ca="1"/>
        <v>#N/A</v>
      </c>
      <c r="S26" s="4" t="e">
        <f ca="1"/>
        <v>#N/A</v>
      </c>
      <c r="T26" s="4" t="e">
        <f ca="1"/>
        <v>#N/A</v>
      </c>
      <c r="U26" s="4" t="e">
        <f ca="1"/>
        <v>#N/A</v>
      </c>
      <c r="V26" s="4" t="e">
        <f ca="1"/>
        <v>#N/A</v>
      </c>
      <c r="W26" s="4" t="e">
        <f ca="1"/>
        <v>#N/A</v>
      </c>
      <c r="X26" s="4" t="e">
        <f ca="1"/>
        <v>#N/A</v>
      </c>
      <c r="Y26" s="4" t="e">
        <f ca="1"/>
        <v>#N/A</v>
      </c>
      <c r="Z26" s="4" t="e">
        <f ca="1"/>
        <v>#N/A</v>
      </c>
      <c r="AA26" s="4" t="e">
        <f ca="1"/>
        <v>#N/A</v>
      </c>
      <c r="AB26" s="4" t="e">
        <f ca="1"/>
        <v>#N/A</v>
      </c>
      <c r="AC26" s="4" t="e">
        <f ca="1"/>
        <v>#N/A</v>
      </c>
      <c r="AD26" s="4" t="e">
        <f ca="1"/>
        <v>#N/A</v>
      </c>
      <c r="AE26" s="4" t="e">
        <f ca="1"/>
        <v>#N/A</v>
      </c>
      <c r="AG26" s="8" t="str">
        <f t="shared" ca="1" si="2"/>
        <v/>
      </c>
    </row>
    <row r="27" spans="2:33" x14ac:dyDescent="0.25">
      <c r="B27" t="s">
        <v>287</v>
      </c>
      <c r="D27" s="5">
        <f t="shared" ca="1" si="0"/>
        <v>0</v>
      </c>
      <c r="E27" s="9" t="e">
        <f ca="1"/>
        <v>#N/A</v>
      </c>
      <c r="F27" s="4" t="e">
        <f t="array" aca="1" ref="F27:AE27" ca="1">RIGHT(
                TRANSPOSE(
                      INDEX(codeList,
                          SMALL(IF(LEFT(codeList)=$E27,
                                              ROW(codeList)-ROW(firstCode)+1
                                         ),
                                         ROW(INDIRECT("1:26"))
                          )
                      )
                )
  )</f>
        <v>#N/A</v>
      </c>
      <c r="G27" s="4" t="e">
        <f ca="1"/>
        <v>#N/A</v>
      </c>
      <c r="H27" s="4" t="e">
        <f ca="1"/>
        <v>#N/A</v>
      </c>
      <c r="I27" s="4" t="e">
        <f ca="1"/>
        <v>#N/A</v>
      </c>
      <c r="J27" s="4" t="e">
        <f ca="1"/>
        <v>#N/A</v>
      </c>
      <c r="K27" s="4" t="e">
        <f ca="1"/>
        <v>#N/A</v>
      </c>
      <c r="L27" s="4" t="e">
        <f ca="1"/>
        <v>#N/A</v>
      </c>
      <c r="M27" s="4" t="e">
        <f ca="1"/>
        <v>#N/A</v>
      </c>
      <c r="N27" s="4" t="e">
        <f ca="1"/>
        <v>#N/A</v>
      </c>
      <c r="O27" s="4" t="e">
        <f ca="1"/>
        <v>#N/A</v>
      </c>
      <c r="P27" s="4" t="e">
        <f ca="1"/>
        <v>#N/A</v>
      </c>
      <c r="Q27" s="4" t="e">
        <f ca="1"/>
        <v>#N/A</v>
      </c>
      <c r="R27" s="4" t="e">
        <f ca="1"/>
        <v>#N/A</v>
      </c>
      <c r="S27" s="4" t="e">
        <f ca="1"/>
        <v>#N/A</v>
      </c>
      <c r="T27" s="4" t="e">
        <f ca="1"/>
        <v>#N/A</v>
      </c>
      <c r="U27" s="4" t="e">
        <f ca="1"/>
        <v>#N/A</v>
      </c>
      <c r="V27" s="4" t="e">
        <f ca="1"/>
        <v>#N/A</v>
      </c>
      <c r="W27" s="4" t="e">
        <f ca="1"/>
        <v>#N/A</v>
      </c>
      <c r="X27" s="4" t="e">
        <f ca="1"/>
        <v>#N/A</v>
      </c>
      <c r="Y27" s="4" t="e">
        <f ca="1"/>
        <v>#N/A</v>
      </c>
      <c r="Z27" s="4" t="e">
        <f ca="1"/>
        <v>#N/A</v>
      </c>
      <c r="AA27" s="4" t="e">
        <f ca="1"/>
        <v>#N/A</v>
      </c>
      <c r="AB27" s="4" t="e">
        <f ca="1"/>
        <v>#N/A</v>
      </c>
      <c r="AC27" s="4" t="e">
        <f ca="1"/>
        <v>#N/A</v>
      </c>
      <c r="AD27" s="4" t="e">
        <f ca="1"/>
        <v>#N/A</v>
      </c>
      <c r="AE27" s="4" t="e">
        <f ca="1"/>
        <v>#N/A</v>
      </c>
      <c r="AG27" s="8" t="str">
        <f t="shared" ca="1" si="2"/>
        <v/>
      </c>
    </row>
    <row r="28" spans="2:33" x14ac:dyDescent="0.25">
      <c r="B28" t="s">
        <v>295</v>
      </c>
      <c r="D28" s="5">
        <f t="shared" ca="1" si="0"/>
        <v>0</v>
      </c>
      <c r="E28" s="9" t="e">
        <f ca="1"/>
        <v>#N/A</v>
      </c>
      <c r="F28" s="4" t="e">
        <f t="array" aca="1" ref="F28:AE28" ca="1">RIGHT(
                TRANSPOSE(
                      INDEX(codeList,
                          SMALL(IF(LEFT(codeList)=$E28,
                                              ROW(codeList)-ROW(firstCode)+1
                                         ),
                                         ROW(INDIRECT("1:26"))
                          )
                      )
                )
  )</f>
        <v>#N/A</v>
      </c>
      <c r="G28" s="4" t="e">
        <f ca="1"/>
        <v>#N/A</v>
      </c>
      <c r="H28" s="4" t="e">
        <f ca="1"/>
        <v>#N/A</v>
      </c>
      <c r="I28" s="4" t="e">
        <f ca="1"/>
        <v>#N/A</v>
      </c>
      <c r="J28" s="4" t="e">
        <f ca="1"/>
        <v>#N/A</v>
      </c>
      <c r="K28" s="4" t="e">
        <f ca="1"/>
        <v>#N/A</v>
      </c>
      <c r="L28" s="4" t="e">
        <f ca="1"/>
        <v>#N/A</v>
      </c>
      <c r="M28" s="4" t="e">
        <f ca="1"/>
        <v>#N/A</v>
      </c>
      <c r="N28" s="4" t="e">
        <f ca="1"/>
        <v>#N/A</v>
      </c>
      <c r="O28" s="4" t="e">
        <f ca="1"/>
        <v>#N/A</v>
      </c>
      <c r="P28" s="4" t="e">
        <f ca="1"/>
        <v>#N/A</v>
      </c>
      <c r="Q28" s="4" t="e">
        <f ca="1"/>
        <v>#N/A</v>
      </c>
      <c r="R28" s="4" t="e">
        <f ca="1"/>
        <v>#N/A</v>
      </c>
      <c r="S28" s="4" t="e">
        <f ca="1"/>
        <v>#N/A</v>
      </c>
      <c r="T28" s="4" t="e">
        <f ca="1"/>
        <v>#N/A</v>
      </c>
      <c r="U28" s="4" t="e">
        <f ca="1"/>
        <v>#N/A</v>
      </c>
      <c r="V28" s="4" t="e">
        <f ca="1"/>
        <v>#N/A</v>
      </c>
      <c r="W28" s="4" t="e">
        <f ca="1"/>
        <v>#N/A</v>
      </c>
      <c r="X28" s="4" t="e">
        <f ca="1"/>
        <v>#N/A</v>
      </c>
      <c r="Y28" s="4" t="e">
        <f ca="1"/>
        <v>#N/A</v>
      </c>
      <c r="Z28" s="4" t="e">
        <f ca="1"/>
        <v>#N/A</v>
      </c>
      <c r="AA28" s="4" t="e">
        <f ca="1"/>
        <v>#N/A</v>
      </c>
      <c r="AB28" s="4" t="e">
        <f ca="1"/>
        <v>#N/A</v>
      </c>
      <c r="AC28" s="4" t="e">
        <f ca="1"/>
        <v>#N/A</v>
      </c>
      <c r="AD28" s="4" t="e">
        <f ca="1"/>
        <v>#N/A</v>
      </c>
      <c r="AE28" s="4" t="e">
        <f ca="1"/>
        <v>#N/A</v>
      </c>
      <c r="AG28" s="8" t="str">
        <f t="shared" ca="1" si="2"/>
        <v/>
      </c>
    </row>
    <row r="29" spans="2:33" x14ac:dyDescent="0.25">
      <c r="B29" t="s">
        <v>300</v>
      </c>
      <c r="E29" s="6">
        <f t="array" aca="1" ref="E29" ca="1">SUM(IF(FREQUENCY(MATCH(LEFT(exactCodeList),LEFT(exactCodeList),0),ROW(exactCodeList)-ROW(firstCode)+1),1))</f>
        <v>19</v>
      </c>
    </row>
    <row r="30" spans="2:33" x14ac:dyDescent="0.25">
      <c r="B30" t="s">
        <v>312</v>
      </c>
    </row>
    <row r="31" spans="2:33" x14ac:dyDescent="0.25">
      <c r="B31" t="s">
        <v>308</v>
      </c>
    </row>
    <row r="32" spans="2:33" x14ac:dyDescent="0.25">
      <c r="B32" t="s">
        <v>304</v>
      </c>
    </row>
    <row r="33" spans="2:2" x14ac:dyDescent="0.25">
      <c r="B33" t="s">
        <v>317</v>
      </c>
    </row>
    <row r="34" spans="2:2" x14ac:dyDescent="0.25">
      <c r="B34" t="s">
        <v>322</v>
      </c>
    </row>
    <row r="35" spans="2:2" x14ac:dyDescent="0.25">
      <c r="B35" t="s">
        <v>330</v>
      </c>
    </row>
    <row r="36" spans="2:2" x14ac:dyDescent="0.25">
      <c r="B36" t="s">
        <v>313</v>
      </c>
    </row>
    <row r="37" spans="2:2" x14ac:dyDescent="0.25">
      <c r="B37" t="s">
        <v>334</v>
      </c>
    </row>
    <row r="38" spans="2:2" x14ac:dyDescent="0.25">
      <c r="B38" t="s">
        <v>339</v>
      </c>
    </row>
    <row r="39" spans="2:2" x14ac:dyDescent="0.25">
      <c r="B39" t="s">
        <v>368</v>
      </c>
    </row>
    <row r="40" spans="2:2" x14ac:dyDescent="0.25">
      <c r="B40" t="s">
        <v>373</v>
      </c>
    </row>
    <row r="41" spans="2:2" x14ac:dyDescent="0.25">
      <c r="B41" t="s">
        <v>338</v>
      </c>
    </row>
    <row r="42" spans="2:2" x14ac:dyDescent="0.25">
      <c r="B42" t="s">
        <v>349</v>
      </c>
    </row>
    <row r="43" spans="2:2" x14ac:dyDescent="0.25">
      <c r="B43" t="s">
        <v>353</v>
      </c>
    </row>
    <row r="44" spans="2:2" x14ac:dyDescent="0.25">
      <c r="B44" t="s">
        <v>357</v>
      </c>
    </row>
    <row r="45" spans="2:2" x14ac:dyDescent="0.25">
      <c r="B45" t="s">
        <v>344</v>
      </c>
    </row>
    <row r="46" spans="2:2" x14ac:dyDescent="0.25">
      <c r="B46" t="s">
        <v>363</v>
      </c>
    </row>
    <row r="47" spans="2:2" x14ac:dyDescent="0.25">
      <c r="B47" t="s">
        <v>379</v>
      </c>
    </row>
    <row r="48" spans="2:2" x14ac:dyDescent="0.25">
      <c r="B48" t="s">
        <v>383</v>
      </c>
    </row>
    <row r="49" spans="2:2" x14ac:dyDescent="0.25">
      <c r="B49" t="s">
        <v>388</v>
      </c>
    </row>
    <row r="50" spans="2:2" x14ac:dyDescent="0.25">
      <c r="B50" t="s">
        <v>394</v>
      </c>
    </row>
    <row r="51" spans="2:2" x14ac:dyDescent="0.25">
      <c r="B51" t="s">
        <v>476</v>
      </c>
    </row>
    <row r="52" spans="2:2" x14ac:dyDescent="0.25">
      <c r="B52" t="s">
        <v>399</v>
      </c>
    </row>
    <row r="53" spans="2:2" x14ac:dyDescent="0.25">
      <c r="B53" t="s">
        <v>404</v>
      </c>
    </row>
    <row r="54" spans="2:2" x14ac:dyDescent="0.25">
      <c r="B54" t="s">
        <v>409</v>
      </c>
    </row>
    <row r="55" spans="2:2" x14ac:dyDescent="0.25">
      <c r="B55" t="s">
        <v>415</v>
      </c>
    </row>
    <row r="56" spans="2:2" x14ac:dyDescent="0.25">
      <c r="B56" t="s">
        <v>539</v>
      </c>
    </row>
    <row r="57" spans="2:2" x14ac:dyDescent="0.25">
      <c r="B57" t="s">
        <v>419</v>
      </c>
    </row>
    <row r="58" spans="2:2" x14ac:dyDescent="0.25">
      <c r="B58" t="s">
        <v>424</v>
      </c>
    </row>
    <row r="59" spans="2:2" x14ac:dyDescent="0.25">
      <c r="B59" t="s">
        <v>432</v>
      </c>
    </row>
    <row r="60" spans="2:2" x14ac:dyDescent="0.25">
      <c r="B60" t="s">
        <v>481</v>
      </c>
    </row>
    <row r="61" spans="2:2" x14ac:dyDescent="0.25">
      <c r="B61" t="s">
        <v>428</v>
      </c>
    </row>
    <row r="62" spans="2:2" x14ac:dyDescent="0.25">
      <c r="B62" t="s">
        <v>437</v>
      </c>
    </row>
    <row r="63" spans="2:2" x14ac:dyDescent="0.25">
      <c r="B63" t="s">
        <v>449</v>
      </c>
    </row>
    <row r="64" spans="2:2" x14ac:dyDescent="0.25">
      <c r="B64" t="s">
        <v>443</v>
      </c>
    </row>
    <row r="65" spans="2:2" x14ac:dyDescent="0.25">
      <c r="B65" t="s">
        <v>455</v>
      </c>
    </row>
  </sheetData>
  <sortState ref="B3:B65">
    <sortCondition ref="B3"/>
  </sortState>
  <conditionalFormatting sqref="E3:E28">
    <cfRule type="containsErrors" dxfId="1" priority="17">
      <formula>ISERROR(E3)</formula>
    </cfRule>
  </conditionalFormatting>
  <conditionalFormatting sqref="F3:AE28">
    <cfRule type="containsErrors" dxfId="0" priority="2">
      <formula>ISERROR(F3)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97"/>
  <sheetViews>
    <sheetView workbookViewId="0">
      <selection activeCell="D95" sqref="D95"/>
    </sheetView>
  </sheetViews>
  <sheetFormatPr defaultRowHeight="15" x14ac:dyDescent="0.25"/>
  <cols>
    <col min="1" max="1" width="32.7109375" bestFit="1" customWidth="1"/>
    <col min="2" max="2" width="27.85546875" bestFit="1" customWidth="1"/>
    <col min="3" max="3" width="13.5703125" bestFit="1" customWidth="1"/>
  </cols>
  <sheetData>
    <row r="1" spans="1:10" x14ac:dyDescent="0.25">
      <c r="A1" t="s">
        <v>189</v>
      </c>
      <c r="B1" t="s">
        <v>190</v>
      </c>
      <c r="C1" s="3" t="s">
        <v>191</v>
      </c>
      <c r="D1" s="3"/>
      <c r="E1" s="3"/>
      <c r="F1" s="3"/>
      <c r="G1" s="3"/>
      <c r="H1" s="3"/>
      <c r="I1" s="3"/>
      <c r="J1" s="3"/>
    </row>
    <row r="2" spans="1:10" x14ac:dyDescent="0.25">
      <c r="A2" t="s">
        <v>0</v>
      </c>
      <c r="B2" t="s">
        <v>192</v>
      </c>
      <c r="C2" t="s">
        <v>193</v>
      </c>
      <c r="D2" t="s">
        <v>194</v>
      </c>
      <c r="E2" t="s">
        <v>195</v>
      </c>
      <c r="F2" t="s">
        <v>196</v>
      </c>
      <c r="G2" t="s">
        <v>197</v>
      </c>
      <c r="H2" t="s">
        <v>198</v>
      </c>
      <c r="I2" t="s">
        <v>199</v>
      </c>
      <c r="J2" t="s">
        <v>200</v>
      </c>
    </row>
    <row r="3" spans="1:10" x14ac:dyDescent="0.25">
      <c r="A3" t="s">
        <v>201</v>
      </c>
      <c r="B3" t="s">
        <v>202</v>
      </c>
      <c r="C3" t="s">
        <v>203</v>
      </c>
    </row>
    <row r="4" spans="1:10" x14ac:dyDescent="0.25">
      <c r="A4" t="s">
        <v>204</v>
      </c>
      <c r="B4" t="s">
        <v>203</v>
      </c>
      <c r="C4">
        <v>0</v>
      </c>
      <c r="F4" t="s">
        <v>205</v>
      </c>
      <c r="G4" t="s">
        <v>205</v>
      </c>
      <c r="H4" t="s">
        <v>206</v>
      </c>
    </row>
    <row r="5" spans="1:10" x14ac:dyDescent="0.25">
      <c r="A5" t="s">
        <v>207</v>
      </c>
      <c r="B5" t="s">
        <v>3</v>
      </c>
      <c r="C5" t="s">
        <v>208</v>
      </c>
      <c r="D5" t="s">
        <v>209</v>
      </c>
      <c r="E5">
        <v>1</v>
      </c>
      <c r="F5" t="s">
        <v>209</v>
      </c>
      <c r="G5" t="s">
        <v>209</v>
      </c>
      <c r="H5" t="s">
        <v>210</v>
      </c>
      <c r="I5" t="s">
        <v>210</v>
      </c>
    </row>
    <row r="6" spans="1:10" x14ac:dyDescent="0.25">
      <c r="A6" t="s">
        <v>211</v>
      </c>
      <c r="B6" t="s">
        <v>3</v>
      </c>
      <c r="C6" t="s">
        <v>212</v>
      </c>
      <c r="D6" t="s">
        <v>213</v>
      </c>
      <c r="E6">
        <v>2</v>
      </c>
      <c r="F6" t="s">
        <v>213</v>
      </c>
      <c r="G6" t="s">
        <v>213</v>
      </c>
      <c r="H6" t="s">
        <v>211</v>
      </c>
      <c r="I6" t="s">
        <v>211</v>
      </c>
      <c r="J6" t="s">
        <v>214</v>
      </c>
    </row>
    <row r="7" spans="1:10" x14ac:dyDescent="0.25">
      <c r="A7" t="s">
        <v>215</v>
      </c>
      <c r="B7" t="s">
        <v>3</v>
      </c>
      <c r="C7" t="s">
        <v>216</v>
      </c>
      <c r="D7" t="s">
        <v>217</v>
      </c>
      <c r="E7">
        <v>4</v>
      </c>
      <c r="F7" t="s">
        <v>217</v>
      </c>
      <c r="G7" t="s">
        <v>217</v>
      </c>
      <c r="H7" t="s">
        <v>218</v>
      </c>
      <c r="I7" t="s">
        <v>218</v>
      </c>
      <c r="J7" t="s">
        <v>219</v>
      </c>
    </row>
    <row r="8" spans="1:10" x14ac:dyDescent="0.25">
      <c r="A8" t="s">
        <v>220</v>
      </c>
      <c r="B8" t="s">
        <v>3</v>
      </c>
      <c r="C8" t="s">
        <v>221</v>
      </c>
      <c r="D8" t="s">
        <v>222</v>
      </c>
      <c r="E8">
        <v>5</v>
      </c>
      <c r="F8" t="s">
        <v>222</v>
      </c>
      <c r="G8" t="s">
        <v>222</v>
      </c>
      <c r="H8" t="s">
        <v>223</v>
      </c>
      <c r="I8" t="s">
        <v>223</v>
      </c>
    </row>
    <row r="9" spans="1:10" x14ac:dyDescent="0.25">
      <c r="A9" t="s">
        <v>224</v>
      </c>
      <c r="B9" t="s">
        <v>3</v>
      </c>
      <c r="C9" t="s">
        <v>225</v>
      </c>
      <c r="D9" t="s">
        <v>226</v>
      </c>
      <c r="E9">
        <v>6</v>
      </c>
      <c r="F9" t="s">
        <v>226</v>
      </c>
      <c r="G9" t="s">
        <v>227</v>
      </c>
      <c r="H9" t="s">
        <v>228</v>
      </c>
      <c r="I9" t="s">
        <v>228</v>
      </c>
      <c r="J9" t="s">
        <v>229</v>
      </c>
    </row>
    <row r="10" spans="1:10" x14ac:dyDescent="0.25">
      <c r="A10" t="s">
        <v>230</v>
      </c>
      <c r="B10" t="s">
        <v>3</v>
      </c>
      <c r="C10" t="s">
        <v>231</v>
      </c>
      <c r="D10" t="s">
        <v>232</v>
      </c>
      <c r="E10">
        <v>8</v>
      </c>
      <c r="F10" t="s">
        <v>232</v>
      </c>
      <c r="G10" t="s">
        <v>233</v>
      </c>
      <c r="H10" t="s">
        <v>234</v>
      </c>
      <c r="I10" t="s">
        <v>234</v>
      </c>
      <c r="J10" t="s">
        <v>235</v>
      </c>
    </row>
    <row r="11" spans="1:10" x14ac:dyDescent="0.25">
      <c r="A11" t="s">
        <v>236</v>
      </c>
      <c r="B11" t="s">
        <v>3</v>
      </c>
      <c r="C11" t="s">
        <v>237</v>
      </c>
      <c r="D11" t="s">
        <v>238</v>
      </c>
      <c r="E11">
        <v>9</v>
      </c>
      <c r="F11" t="s">
        <v>238</v>
      </c>
      <c r="G11" t="s">
        <v>238</v>
      </c>
      <c r="H11" t="s">
        <v>239</v>
      </c>
      <c r="I11" t="s">
        <v>239</v>
      </c>
      <c r="J11" t="s">
        <v>240</v>
      </c>
    </row>
    <row r="12" spans="1:10" x14ac:dyDescent="0.25">
      <c r="A12" t="s">
        <v>241</v>
      </c>
      <c r="B12" t="s">
        <v>3</v>
      </c>
      <c r="C12" t="s">
        <v>242</v>
      </c>
      <c r="D12" t="s">
        <v>243</v>
      </c>
      <c r="E12">
        <v>10</v>
      </c>
      <c r="F12" t="s">
        <v>243</v>
      </c>
      <c r="G12" t="s">
        <v>244</v>
      </c>
      <c r="H12" t="s">
        <v>245</v>
      </c>
      <c r="I12" t="s">
        <v>245</v>
      </c>
      <c r="J12" t="s">
        <v>246</v>
      </c>
    </row>
    <row r="13" spans="1:10" x14ac:dyDescent="0.25">
      <c r="A13" t="s">
        <v>247</v>
      </c>
      <c r="B13" t="s">
        <v>248</v>
      </c>
      <c r="C13" t="s">
        <v>249</v>
      </c>
      <c r="D13" t="s">
        <v>250</v>
      </c>
      <c r="E13">
        <v>11</v>
      </c>
      <c r="F13" t="s">
        <v>250</v>
      </c>
      <c r="G13" t="s">
        <v>250</v>
      </c>
      <c r="H13" t="s">
        <v>251</v>
      </c>
      <c r="I13" t="s">
        <v>251</v>
      </c>
      <c r="J13" t="s">
        <v>252</v>
      </c>
    </row>
    <row r="14" spans="1:10" x14ac:dyDescent="0.25">
      <c r="A14" t="s">
        <v>253</v>
      </c>
      <c r="B14" t="s">
        <v>3</v>
      </c>
      <c r="C14" t="s">
        <v>254</v>
      </c>
      <c r="D14" t="s">
        <v>255</v>
      </c>
      <c r="E14">
        <v>12</v>
      </c>
      <c r="F14" t="s">
        <v>255</v>
      </c>
      <c r="G14" t="s">
        <v>255</v>
      </c>
      <c r="H14" t="s">
        <v>256</v>
      </c>
      <c r="I14" t="s">
        <v>256</v>
      </c>
      <c r="J14" t="s">
        <v>257</v>
      </c>
    </row>
    <row r="15" spans="1:10" x14ac:dyDescent="0.25">
      <c r="A15" t="s">
        <v>258</v>
      </c>
      <c r="B15" t="s">
        <v>3</v>
      </c>
      <c r="C15" t="s">
        <v>259</v>
      </c>
      <c r="D15" t="s">
        <v>260</v>
      </c>
      <c r="E15">
        <v>13</v>
      </c>
      <c r="F15" t="s">
        <v>260</v>
      </c>
      <c r="G15" t="s">
        <v>260</v>
      </c>
      <c r="H15" t="s">
        <v>261</v>
      </c>
      <c r="I15" t="s">
        <v>261</v>
      </c>
    </row>
    <row r="16" spans="1:10" x14ac:dyDescent="0.25">
      <c r="A16" t="s">
        <v>262</v>
      </c>
      <c r="B16" t="s">
        <v>3</v>
      </c>
      <c r="C16" t="s">
        <v>263</v>
      </c>
      <c r="D16" t="s">
        <v>264</v>
      </c>
      <c r="E16">
        <v>15</v>
      </c>
      <c r="F16" t="s">
        <v>264</v>
      </c>
      <c r="G16" t="s">
        <v>265</v>
      </c>
      <c r="H16" t="s">
        <v>262</v>
      </c>
      <c r="I16" t="s">
        <v>262</v>
      </c>
      <c r="J16" t="s">
        <v>266</v>
      </c>
    </row>
    <row r="17" spans="1:10" x14ac:dyDescent="0.25">
      <c r="A17" t="s">
        <v>267</v>
      </c>
      <c r="B17" t="s">
        <v>3</v>
      </c>
      <c r="C17" t="s">
        <v>268</v>
      </c>
      <c r="D17" t="s">
        <v>269</v>
      </c>
      <c r="E17">
        <v>16</v>
      </c>
      <c r="F17" t="s">
        <v>269</v>
      </c>
      <c r="G17" t="s">
        <v>269</v>
      </c>
      <c r="H17" t="s">
        <v>267</v>
      </c>
      <c r="I17" t="s">
        <v>267</v>
      </c>
      <c r="J17" t="s">
        <v>270</v>
      </c>
    </row>
    <row r="18" spans="1:10" x14ac:dyDescent="0.25">
      <c r="A18" t="s">
        <v>271</v>
      </c>
      <c r="B18" t="s">
        <v>3</v>
      </c>
      <c r="C18" t="s">
        <v>272</v>
      </c>
      <c r="D18" t="s">
        <v>273</v>
      </c>
      <c r="E18">
        <v>17</v>
      </c>
      <c r="F18" t="s">
        <v>273</v>
      </c>
      <c r="G18" t="s">
        <v>273</v>
      </c>
      <c r="H18" t="s">
        <v>274</v>
      </c>
      <c r="I18" t="s">
        <v>274</v>
      </c>
      <c r="J18" t="s">
        <v>275</v>
      </c>
    </row>
    <row r="19" spans="1:10" x14ac:dyDescent="0.25">
      <c r="A19" t="s">
        <v>276</v>
      </c>
      <c r="B19" t="s">
        <v>3</v>
      </c>
      <c r="C19" t="s">
        <v>277</v>
      </c>
      <c r="D19" t="s">
        <v>278</v>
      </c>
      <c r="E19">
        <v>18</v>
      </c>
      <c r="F19" t="s">
        <v>278</v>
      </c>
      <c r="G19" t="s">
        <v>278</v>
      </c>
      <c r="H19" t="s">
        <v>279</v>
      </c>
      <c r="I19" t="s">
        <v>279</v>
      </c>
      <c r="J19" t="s">
        <v>280</v>
      </c>
    </row>
    <row r="20" spans="1:10" x14ac:dyDescent="0.25">
      <c r="A20" t="s">
        <v>281</v>
      </c>
      <c r="B20" t="s">
        <v>3</v>
      </c>
      <c r="C20" t="s">
        <v>282</v>
      </c>
      <c r="D20" t="s">
        <v>283</v>
      </c>
      <c r="E20">
        <v>19</v>
      </c>
      <c r="F20" t="s">
        <v>283</v>
      </c>
      <c r="G20" t="s">
        <v>283</v>
      </c>
      <c r="H20" t="s">
        <v>281</v>
      </c>
      <c r="I20" t="s">
        <v>281</v>
      </c>
      <c r="J20" t="s">
        <v>284</v>
      </c>
    </row>
    <row r="21" spans="1:10" x14ac:dyDescent="0.25">
      <c r="A21" t="s">
        <v>285</v>
      </c>
      <c r="B21" t="s">
        <v>3</v>
      </c>
      <c r="C21" t="s">
        <v>286</v>
      </c>
      <c r="D21" t="s">
        <v>287</v>
      </c>
      <c r="E21">
        <v>20</v>
      </c>
      <c r="F21" t="s">
        <v>287</v>
      </c>
      <c r="G21" t="s">
        <v>288</v>
      </c>
      <c r="H21" t="s">
        <v>289</v>
      </c>
      <c r="I21" t="s">
        <v>290</v>
      </c>
      <c r="J21" t="s">
        <v>291</v>
      </c>
    </row>
    <row r="22" spans="1:10" x14ac:dyDescent="0.25">
      <c r="A22" t="s">
        <v>292</v>
      </c>
      <c r="B22" t="s">
        <v>293</v>
      </c>
      <c r="C22" t="s">
        <v>294</v>
      </c>
      <c r="D22" t="s">
        <v>295</v>
      </c>
      <c r="E22">
        <v>21</v>
      </c>
      <c r="F22" t="s">
        <v>295</v>
      </c>
      <c r="G22" t="s">
        <v>295</v>
      </c>
      <c r="H22" t="s">
        <v>296</v>
      </c>
      <c r="I22" t="s">
        <v>296</v>
      </c>
      <c r="J22" t="s">
        <v>297</v>
      </c>
    </row>
    <row r="23" spans="1:10" x14ac:dyDescent="0.25">
      <c r="A23" t="s">
        <v>298</v>
      </c>
      <c r="B23" t="s">
        <v>3</v>
      </c>
      <c r="C23" t="s">
        <v>299</v>
      </c>
      <c r="D23" t="s">
        <v>300</v>
      </c>
      <c r="E23">
        <v>22</v>
      </c>
      <c r="F23" t="s">
        <v>300</v>
      </c>
      <c r="G23" t="s">
        <v>300</v>
      </c>
      <c r="H23" t="s">
        <v>301</v>
      </c>
      <c r="I23" t="s">
        <v>301</v>
      </c>
    </row>
    <row r="24" spans="1:10" x14ac:dyDescent="0.25">
      <c r="A24" t="s">
        <v>302</v>
      </c>
      <c r="B24" t="s">
        <v>3</v>
      </c>
      <c r="C24" t="s">
        <v>303</v>
      </c>
      <c r="D24" t="s">
        <v>304</v>
      </c>
      <c r="E24">
        <v>23</v>
      </c>
      <c r="F24" t="s">
        <v>304</v>
      </c>
      <c r="G24" t="s">
        <v>304</v>
      </c>
      <c r="H24" t="s">
        <v>302</v>
      </c>
      <c r="I24" t="s">
        <v>302</v>
      </c>
      <c r="J24" t="s">
        <v>305</v>
      </c>
    </row>
    <row r="25" spans="1:10" x14ac:dyDescent="0.25">
      <c r="A25" t="s">
        <v>306</v>
      </c>
      <c r="B25" t="s">
        <v>3</v>
      </c>
      <c r="C25" t="s">
        <v>307</v>
      </c>
      <c r="D25" t="s">
        <v>308</v>
      </c>
      <c r="E25">
        <v>24</v>
      </c>
      <c r="F25" t="s">
        <v>308</v>
      </c>
      <c r="G25" t="s">
        <v>308</v>
      </c>
      <c r="H25" t="s">
        <v>309</v>
      </c>
      <c r="I25" t="s">
        <v>309</v>
      </c>
    </row>
    <row r="26" spans="1:10" x14ac:dyDescent="0.25">
      <c r="A26" t="s">
        <v>310</v>
      </c>
      <c r="B26" t="s">
        <v>293</v>
      </c>
      <c r="C26" t="s">
        <v>311</v>
      </c>
      <c r="D26" t="s">
        <v>312</v>
      </c>
      <c r="E26">
        <v>25</v>
      </c>
      <c r="F26" t="s">
        <v>312</v>
      </c>
      <c r="G26" t="s">
        <v>313</v>
      </c>
      <c r="H26" t="s">
        <v>314</v>
      </c>
      <c r="I26" t="s">
        <v>314</v>
      </c>
    </row>
    <row r="27" spans="1:10" x14ac:dyDescent="0.25">
      <c r="A27" t="s">
        <v>315</v>
      </c>
      <c r="B27" t="s">
        <v>3</v>
      </c>
      <c r="C27" t="s">
        <v>316</v>
      </c>
      <c r="D27" t="s">
        <v>317</v>
      </c>
      <c r="E27">
        <v>26</v>
      </c>
      <c r="F27" t="s">
        <v>317</v>
      </c>
      <c r="G27" t="s">
        <v>318</v>
      </c>
      <c r="H27" t="s">
        <v>319</v>
      </c>
      <c r="I27" t="s">
        <v>319</v>
      </c>
    </row>
    <row r="28" spans="1:10" x14ac:dyDescent="0.25">
      <c r="A28" t="s">
        <v>320</v>
      </c>
      <c r="B28" t="s">
        <v>3</v>
      </c>
      <c r="C28" t="s">
        <v>321</v>
      </c>
      <c r="D28" t="s">
        <v>322</v>
      </c>
      <c r="E28">
        <v>27</v>
      </c>
      <c r="F28" t="s">
        <v>322</v>
      </c>
      <c r="G28" t="s">
        <v>322</v>
      </c>
      <c r="H28" t="s">
        <v>323</v>
      </c>
      <c r="I28" t="s">
        <v>323</v>
      </c>
      <c r="J28" t="s">
        <v>324</v>
      </c>
    </row>
    <row r="29" spans="1:10" x14ac:dyDescent="0.25">
      <c r="A29" t="s">
        <v>325</v>
      </c>
      <c r="B29" t="s">
        <v>3</v>
      </c>
      <c r="C29" t="s">
        <v>326</v>
      </c>
      <c r="D29" t="s">
        <v>313</v>
      </c>
      <c r="E29">
        <v>28</v>
      </c>
      <c r="F29" t="s">
        <v>313</v>
      </c>
      <c r="G29" t="s">
        <v>317</v>
      </c>
      <c r="H29" t="s">
        <v>327</v>
      </c>
      <c r="I29" t="s">
        <v>327</v>
      </c>
    </row>
    <row r="30" spans="1:10" x14ac:dyDescent="0.25">
      <c r="A30" t="s">
        <v>328</v>
      </c>
      <c r="B30" t="s">
        <v>3</v>
      </c>
      <c r="C30" t="s">
        <v>329</v>
      </c>
      <c r="D30" t="s">
        <v>330</v>
      </c>
      <c r="E30">
        <v>29</v>
      </c>
      <c r="F30" t="s">
        <v>330</v>
      </c>
      <c r="G30" t="s">
        <v>330</v>
      </c>
      <c r="H30" t="s">
        <v>331</v>
      </c>
      <c r="I30" t="s">
        <v>331</v>
      </c>
    </row>
    <row r="31" spans="1:10" x14ac:dyDescent="0.25">
      <c r="A31" t="s">
        <v>332</v>
      </c>
      <c r="B31" t="s">
        <v>3</v>
      </c>
      <c r="C31" t="s">
        <v>333</v>
      </c>
      <c r="D31" t="s">
        <v>334</v>
      </c>
      <c r="E31">
        <v>30</v>
      </c>
      <c r="F31" t="s">
        <v>334</v>
      </c>
      <c r="G31" t="s">
        <v>334</v>
      </c>
      <c r="H31" t="s">
        <v>335</v>
      </c>
      <c r="I31" t="s">
        <v>335</v>
      </c>
    </row>
    <row r="32" spans="1:10" x14ac:dyDescent="0.25">
      <c r="A32" t="s">
        <v>336</v>
      </c>
      <c r="B32" t="s">
        <v>3</v>
      </c>
      <c r="C32" t="s">
        <v>337</v>
      </c>
      <c r="D32" t="s">
        <v>338</v>
      </c>
      <c r="E32">
        <v>31</v>
      </c>
      <c r="F32" t="s">
        <v>338</v>
      </c>
      <c r="G32" t="s">
        <v>339</v>
      </c>
      <c r="H32" t="s">
        <v>340</v>
      </c>
      <c r="I32" t="s">
        <v>341</v>
      </c>
    </row>
    <row r="33" spans="1:10" x14ac:dyDescent="0.25">
      <c r="A33" t="s">
        <v>342</v>
      </c>
      <c r="B33" t="s">
        <v>3</v>
      </c>
      <c r="C33" t="s">
        <v>343</v>
      </c>
      <c r="D33" t="s">
        <v>344</v>
      </c>
      <c r="E33">
        <v>32</v>
      </c>
      <c r="F33" t="s">
        <v>344</v>
      </c>
      <c r="G33" t="s">
        <v>344</v>
      </c>
      <c r="H33" t="s">
        <v>345</v>
      </c>
      <c r="I33" t="s">
        <v>345</v>
      </c>
      <c r="J33" t="s">
        <v>346</v>
      </c>
    </row>
    <row r="34" spans="1:10" x14ac:dyDescent="0.25">
      <c r="A34" t="s">
        <v>347</v>
      </c>
      <c r="B34" t="s">
        <v>3</v>
      </c>
      <c r="C34" t="s">
        <v>348</v>
      </c>
      <c r="D34" t="s">
        <v>349</v>
      </c>
      <c r="E34">
        <v>33</v>
      </c>
      <c r="F34" t="s">
        <v>349</v>
      </c>
      <c r="G34" t="s">
        <v>349</v>
      </c>
      <c r="H34" t="s">
        <v>350</v>
      </c>
      <c r="I34" t="s">
        <v>350</v>
      </c>
    </row>
    <row r="35" spans="1:10" x14ac:dyDescent="0.25">
      <c r="A35" t="s">
        <v>351</v>
      </c>
      <c r="B35" t="s">
        <v>3</v>
      </c>
      <c r="C35" t="s">
        <v>352</v>
      </c>
      <c r="D35" t="s">
        <v>353</v>
      </c>
      <c r="E35">
        <v>34</v>
      </c>
      <c r="F35" t="s">
        <v>353</v>
      </c>
      <c r="G35" t="s">
        <v>353</v>
      </c>
      <c r="H35" t="s">
        <v>354</v>
      </c>
      <c r="I35" t="s">
        <v>354</v>
      </c>
    </row>
    <row r="36" spans="1:10" x14ac:dyDescent="0.25">
      <c r="A36" t="s">
        <v>355</v>
      </c>
      <c r="B36" t="s">
        <v>3</v>
      </c>
      <c r="C36" t="s">
        <v>356</v>
      </c>
      <c r="D36" t="s">
        <v>357</v>
      </c>
      <c r="E36">
        <v>35</v>
      </c>
      <c r="F36" t="s">
        <v>357</v>
      </c>
      <c r="G36" t="s">
        <v>357</v>
      </c>
      <c r="H36" t="s">
        <v>358</v>
      </c>
      <c r="I36" t="s">
        <v>359</v>
      </c>
      <c r="J36" t="s">
        <v>360</v>
      </c>
    </row>
    <row r="37" spans="1:10" x14ac:dyDescent="0.25">
      <c r="A37" t="s">
        <v>361</v>
      </c>
      <c r="B37" t="s">
        <v>3</v>
      </c>
      <c r="C37" t="s">
        <v>362</v>
      </c>
      <c r="D37" t="s">
        <v>363</v>
      </c>
      <c r="E37">
        <v>36</v>
      </c>
      <c r="F37" t="s">
        <v>363</v>
      </c>
      <c r="G37" t="s">
        <v>363</v>
      </c>
      <c r="H37" t="s">
        <v>364</v>
      </c>
      <c r="I37" t="s">
        <v>364</v>
      </c>
      <c r="J37" t="s">
        <v>365</v>
      </c>
    </row>
    <row r="38" spans="1:10" x14ac:dyDescent="0.25">
      <c r="A38" t="s">
        <v>366</v>
      </c>
      <c r="B38" t="s">
        <v>3</v>
      </c>
      <c r="C38" t="s">
        <v>367</v>
      </c>
      <c r="D38" t="s">
        <v>368</v>
      </c>
      <c r="E38">
        <v>37</v>
      </c>
      <c r="F38" t="s">
        <v>368</v>
      </c>
      <c r="G38" t="s">
        <v>368</v>
      </c>
      <c r="H38" t="s">
        <v>369</v>
      </c>
      <c r="I38" t="s">
        <v>369</v>
      </c>
      <c r="J38" t="s">
        <v>370</v>
      </c>
    </row>
    <row r="39" spans="1:10" x14ac:dyDescent="0.25">
      <c r="A39" t="s">
        <v>371</v>
      </c>
      <c r="B39" t="s">
        <v>3</v>
      </c>
      <c r="C39" t="s">
        <v>372</v>
      </c>
      <c r="D39" t="s">
        <v>373</v>
      </c>
      <c r="E39">
        <v>38</v>
      </c>
      <c r="F39" t="s">
        <v>373</v>
      </c>
      <c r="G39" t="s">
        <v>373</v>
      </c>
      <c r="H39" t="s">
        <v>374</v>
      </c>
      <c r="I39" t="s">
        <v>375</v>
      </c>
      <c r="J39" t="s">
        <v>376</v>
      </c>
    </row>
    <row r="40" spans="1:10" x14ac:dyDescent="0.25">
      <c r="A40" t="s">
        <v>377</v>
      </c>
      <c r="B40" t="s">
        <v>3</v>
      </c>
      <c r="C40" t="s">
        <v>378</v>
      </c>
      <c r="D40" t="s">
        <v>379</v>
      </c>
      <c r="E40">
        <v>39</v>
      </c>
      <c r="F40" t="s">
        <v>379</v>
      </c>
      <c r="G40" t="s">
        <v>379</v>
      </c>
      <c r="H40" t="s">
        <v>377</v>
      </c>
      <c r="I40" t="s">
        <v>377</v>
      </c>
      <c r="J40" t="s">
        <v>380</v>
      </c>
    </row>
    <row r="41" spans="1:10" x14ac:dyDescent="0.25">
      <c r="A41" t="s">
        <v>381</v>
      </c>
      <c r="B41" t="s">
        <v>3</v>
      </c>
      <c r="C41" t="s">
        <v>382</v>
      </c>
      <c r="D41" t="s">
        <v>383</v>
      </c>
      <c r="E41">
        <v>40</v>
      </c>
      <c r="F41" t="s">
        <v>383</v>
      </c>
      <c r="G41" t="s">
        <v>383</v>
      </c>
      <c r="H41" t="s">
        <v>384</v>
      </c>
      <c r="I41" t="s">
        <v>384</v>
      </c>
      <c r="J41" t="s">
        <v>385</v>
      </c>
    </row>
    <row r="42" spans="1:10" x14ac:dyDescent="0.25">
      <c r="A42" t="s">
        <v>386</v>
      </c>
      <c r="B42" t="s">
        <v>3</v>
      </c>
      <c r="C42" t="s">
        <v>387</v>
      </c>
      <c r="D42" t="s">
        <v>388</v>
      </c>
      <c r="E42">
        <v>41</v>
      </c>
      <c r="F42" t="s">
        <v>388</v>
      </c>
      <c r="G42" t="s">
        <v>388</v>
      </c>
      <c r="H42" t="s">
        <v>389</v>
      </c>
      <c r="I42" t="s">
        <v>390</v>
      </c>
      <c r="J42" t="s">
        <v>391</v>
      </c>
    </row>
    <row r="43" spans="1:10" x14ac:dyDescent="0.25">
      <c r="A43" t="s">
        <v>392</v>
      </c>
      <c r="B43" t="s">
        <v>293</v>
      </c>
      <c r="C43" t="s">
        <v>393</v>
      </c>
      <c r="D43" t="s">
        <v>394</v>
      </c>
      <c r="E43">
        <v>42</v>
      </c>
      <c r="F43" t="s">
        <v>394</v>
      </c>
      <c r="G43" t="s">
        <v>394</v>
      </c>
      <c r="H43" t="s">
        <v>395</v>
      </c>
      <c r="I43" t="s">
        <v>395</v>
      </c>
      <c r="J43" t="s">
        <v>396</v>
      </c>
    </row>
    <row r="44" spans="1:10" x14ac:dyDescent="0.25">
      <c r="A44" t="s">
        <v>397</v>
      </c>
      <c r="B44" t="s">
        <v>3</v>
      </c>
      <c r="C44" t="s">
        <v>398</v>
      </c>
      <c r="D44" t="s">
        <v>399</v>
      </c>
      <c r="E44">
        <v>44</v>
      </c>
      <c r="F44" t="s">
        <v>399</v>
      </c>
      <c r="G44" t="s">
        <v>399</v>
      </c>
      <c r="H44" t="s">
        <v>400</v>
      </c>
      <c r="I44" t="s">
        <v>400</v>
      </c>
      <c r="J44" t="s">
        <v>401</v>
      </c>
    </row>
    <row r="45" spans="1:10" x14ac:dyDescent="0.25">
      <c r="A45" t="s">
        <v>402</v>
      </c>
      <c r="B45" t="s">
        <v>3</v>
      </c>
      <c r="C45" t="s">
        <v>403</v>
      </c>
      <c r="D45" t="s">
        <v>404</v>
      </c>
      <c r="E45">
        <v>45</v>
      </c>
      <c r="F45" t="s">
        <v>404</v>
      </c>
      <c r="G45" t="s">
        <v>404</v>
      </c>
      <c r="H45" t="s">
        <v>405</v>
      </c>
      <c r="I45" t="s">
        <v>405</v>
      </c>
      <c r="J45" t="s">
        <v>406</v>
      </c>
    </row>
    <row r="46" spans="1:10" x14ac:dyDescent="0.25">
      <c r="A46" t="s">
        <v>407</v>
      </c>
      <c r="B46" t="s">
        <v>3</v>
      </c>
      <c r="C46" t="s">
        <v>408</v>
      </c>
      <c r="D46" t="s">
        <v>409</v>
      </c>
      <c r="E46">
        <v>46</v>
      </c>
      <c r="F46" t="s">
        <v>409</v>
      </c>
      <c r="G46" t="s">
        <v>409</v>
      </c>
      <c r="H46" t="s">
        <v>410</v>
      </c>
      <c r="I46" t="s">
        <v>411</v>
      </c>
      <c r="J46" t="s">
        <v>412</v>
      </c>
    </row>
    <row r="47" spans="1:10" x14ac:dyDescent="0.25">
      <c r="A47" t="s">
        <v>413</v>
      </c>
      <c r="B47" t="s">
        <v>3</v>
      </c>
      <c r="C47" t="s">
        <v>414</v>
      </c>
      <c r="D47" t="s">
        <v>415</v>
      </c>
      <c r="E47">
        <v>47</v>
      </c>
      <c r="F47" t="s">
        <v>415</v>
      </c>
      <c r="G47" t="s">
        <v>415</v>
      </c>
      <c r="H47" t="s">
        <v>416</v>
      </c>
      <c r="I47" t="s">
        <v>416</v>
      </c>
    </row>
    <row r="48" spans="1:10" x14ac:dyDescent="0.25">
      <c r="A48" t="s">
        <v>417</v>
      </c>
      <c r="B48" t="s">
        <v>3</v>
      </c>
      <c r="C48" t="s">
        <v>418</v>
      </c>
      <c r="D48" t="s">
        <v>419</v>
      </c>
      <c r="E48">
        <v>48</v>
      </c>
      <c r="F48" t="s">
        <v>419</v>
      </c>
      <c r="G48" t="s">
        <v>419</v>
      </c>
      <c r="H48" t="s">
        <v>420</v>
      </c>
      <c r="I48" t="s">
        <v>417</v>
      </c>
      <c r="J48" t="s">
        <v>421</v>
      </c>
    </row>
    <row r="49" spans="1:13" x14ac:dyDescent="0.25">
      <c r="A49" t="s">
        <v>422</v>
      </c>
      <c r="B49" t="s">
        <v>3</v>
      </c>
      <c r="C49" t="s">
        <v>423</v>
      </c>
      <c r="D49" t="s">
        <v>424</v>
      </c>
      <c r="E49">
        <v>49</v>
      </c>
      <c r="F49" t="s">
        <v>424</v>
      </c>
      <c r="G49" t="s">
        <v>424</v>
      </c>
      <c r="H49" t="s">
        <v>422</v>
      </c>
      <c r="I49" t="s">
        <v>422</v>
      </c>
      <c r="J49" t="s">
        <v>425</v>
      </c>
    </row>
    <row r="50" spans="1:13" x14ac:dyDescent="0.25">
      <c r="A50" t="s">
        <v>426</v>
      </c>
      <c r="B50" t="s">
        <v>3</v>
      </c>
      <c r="C50" t="s">
        <v>427</v>
      </c>
      <c r="D50" t="s">
        <v>428</v>
      </c>
      <c r="E50">
        <v>50</v>
      </c>
      <c r="F50" t="s">
        <v>428</v>
      </c>
      <c r="G50" t="s">
        <v>428</v>
      </c>
      <c r="H50" t="s">
        <v>429</v>
      </c>
      <c r="I50" t="s">
        <v>429</v>
      </c>
    </row>
    <row r="51" spans="1:13" x14ac:dyDescent="0.25">
      <c r="A51" t="s">
        <v>430</v>
      </c>
      <c r="B51" t="s">
        <v>293</v>
      </c>
      <c r="C51" t="s">
        <v>431</v>
      </c>
      <c r="D51" t="s">
        <v>432</v>
      </c>
      <c r="E51">
        <v>51</v>
      </c>
      <c r="F51" t="s">
        <v>432</v>
      </c>
      <c r="G51" t="s">
        <v>432</v>
      </c>
      <c r="H51" t="s">
        <v>433</v>
      </c>
      <c r="I51" t="s">
        <v>433</v>
      </c>
      <c r="J51" t="s">
        <v>434</v>
      </c>
    </row>
    <row r="52" spans="1:13" x14ac:dyDescent="0.25">
      <c r="A52" t="s">
        <v>435</v>
      </c>
      <c r="B52" t="s">
        <v>3</v>
      </c>
      <c r="C52" t="s">
        <v>436</v>
      </c>
      <c r="D52" t="s">
        <v>437</v>
      </c>
      <c r="E52">
        <v>53</v>
      </c>
      <c r="F52" t="s">
        <v>437</v>
      </c>
      <c r="G52" t="s">
        <v>438</v>
      </c>
      <c r="H52" t="s">
        <v>439</v>
      </c>
      <c r="I52" t="s">
        <v>439</v>
      </c>
      <c r="J52" t="s">
        <v>440</v>
      </c>
    </row>
    <row r="53" spans="1:13" x14ac:dyDescent="0.25">
      <c r="A53" t="s">
        <v>441</v>
      </c>
      <c r="B53" t="s">
        <v>3</v>
      </c>
      <c r="C53" t="s">
        <v>442</v>
      </c>
      <c r="D53" t="s">
        <v>443</v>
      </c>
      <c r="E53">
        <v>54</v>
      </c>
      <c r="F53" t="s">
        <v>443</v>
      </c>
      <c r="G53" t="s">
        <v>443</v>
      </c>
      <c r="H53" t="s">
        <v>444</v>
      </c>
      <c r="I53" t="s">
        <v>445</v>
      </c>
      <c r="J53" t="s">
        <v>446</v>
      </c>
    </row>
    <row r="54" spans="1:13" x14ac:dyDescent="0.25">
      <c r="A54" t="s">
        <v>447</v>
      </c>
      <c r="B54" t="s">
        <v>3</v>
      </c>
      <c r="C54" t="s">
        <v>448</v>
      </c>
      <c r="D54" t="s">
        <v>449</v>
      </c>
      <c r="E54">
        <v>55</v>
      </c>
      <c r="F54" t="s">
        <v>449</v>
      </c>
      <c r="G54" t="s">
        <v>450</v>
      </c>
      <c r="H54" t="s">
        <v>451</v>
      </c>
      <c r="I54" t="s">
        <v>451</v>
      </c>
      <c r="J54" t="s">
        <v>452</v>
      </c>
    </row>
    <row r="55" spans="1:13" x14ac:dyDescent="0.25">
      <c r="A55" t="s">
        <v>453</v>
      </c>
      <c r="B55" t="s">
        <v>3</v>
      </c>
      <c r="C55" t="s">
        <v>454</v>
      </c>
      <c r="D55" t="s">
        <v>455</v>
      </c>
      <c r="E55">
        <v>56</v>
      </c>
      <c r="F55" t="s">
        <v>455</v>
      </c>
      <c r="G55" t="s">
        <v>455</v>
      </c>
      <c r="H55" t="s">
        <v>456</v>
      </c>
      <c r="I55" t="s">
        <v>456</v>
      </c>
      <c r="J55" t="s">
        <v>457</v>
      </c>
    </row>
    <row r="56" spans="1:13" x14ac:dyDescent="0.25">
      <c r="A56" t="s">
        <v>458</v>
      </c>
      <c r="B56" t="s">
        <v>459</v>
      </c>
      <c r="C56" t="s">
        <v>460</v>
      </c>
    </row>
    <row r="57" spans="1:13" x14ac:dyDescent="0.25">
      <c r="A57" t="s">
        <v>461</v>
      </c>
      <c r="M57" t="s">
        <v>460</v>
      </c>
    </row>
    <row r="58" spans="1:13" x14ac:dyDescent="0.25">
      <c r="A58" t="s">
        <v>462</v>
      </c>
      <c r="B58" t="s">
        <v>460</v>
      </c>
      <c r="C58">
        <v>60</v>
      </c>
      <c r="D58" t="s">
        <v>460</v>
      </c>
      <c r="E58" t="s">
        <v>460</v>
      </c>
      <c r="F58" t="s">
        <v>463</v>
      </c>
      <c r="M58" t="s">
        <v>465</v>
      </c>
    </row>
    <row r="59" spans="1:13" x14ac:dyDescent="0.25">
      <c r="A59" t="s">
        <v>464</v>
      </c>
      <c r="B59" t="s">
        <v>459</v>
      </c>
      <c r="C59" t="s">
        <v>465</v>
      </c>
      <c r="M59" t="s">
        <v>473</v>
      </c>
    </row>
    <row r="60" spans="1:13" x14ac:dyDescent="0.25">
      <c r="A60" t="s">
        <v>466</v>
      </c>
      <c r="M60" t="s">
        <v>476</v>
      </c>
    </row>
    <row r="61" spans="1:13" x14ac:dyDescent="0.25">
      <c r="A61" t="s">
        <v>467</v>
      </c>
      <c r="B61" t="s">
        <v>465</v>
      </c>
      <c r="C61">
        <v>66</v>
      </c>
      <c r="D61" t="s">
        <v>465</v>
      </c>
      <c r="E61" t="s">
        <v>465</v>
      </c>
      <c r="F61" t="s">
        <v>464</v>
      </c>
      <c r="M61" t="s">
        <v>481</v>
      </c>
    </row>
    <row r="62" spans="1:13" x14ac:dyDescent="0.25">
      <c r="A62" t="s">
        <v>468</v>
      </c>
      <c r="B62" t="s">
        <v>469</v>
      </c>
      <c r="C62" t="s">
        <v>470</v>
      </c>
      <c r="M62" t="s">
        <v>524</v>
      </c>
    </row>
    <row r="63" spans="1:13" x14ac:dyDescent="0.25">
      <c r="A63" t="s">
        <v>471</v>
      </c>
      <c r="M63" t="s">
        <v>526</v>
      </c>
    </row>
    <row r="64" spans="1:13" x14ac:dyDescent="0.25">
      <c r="A64" t="s">
        <v>472</v>
      </c>
      <c r="B64" t="s">
        <v>470</v>
      </c>
      <c r="C64">
        <v>69</v>
      </c>
      <c r="D64" t="s">
        <v>470</v>
      </c>
      <c r="E64" t="s">
        <v>473</v>
      </c>
      <c r="F64" t="s">
        <v>474</v>
      </c>
      <c r="M64" t="s">
        <v>528</v>
      </c>
    </row>
    <row r="65" spans="1:13" x14ac:dyDescent="0.25">
      <c r="A65" t="s">
        <v>475</v>
      </c>
      <c r="B65" t="s">
        <v>469</v>
      </c>
      <c r="C65" t="s">
        <v>476</v>
      </c>
      <c r="M65" t="s">
        <v>473</v>
      </c>
    </row>
    <row r="66" spans="1:13" x14ac:dyDescent="0.25">
      <c r="A66" t="s">
        <v>477</v>
      </c>
      <c r="M66" t="s">
        <v>532</v>
      </c>
    </row>
    <row r="67" spans="1:13" x14ac:dyDescent="0.25">
      <c r="A67" t="s">
        <v>478</v>
      </c>
      <c r="B67" t="s">
        <v>476</v>
      </c>
      <c r="C67">
        <v>72</v>
      </c>
      <c r="D67" t="s">
        <v>476</v>
      </c>
      <c r="E67" t="s">
        <v>476</v>
      </c>
      <c r="F67" t="s">
        <v>479</v>
      </c>
      <c r="M67" t="s">
        <v>339</v>
      </c>
    </row>
    <row r="68" spans="1:13" x14ac:dyDescent="0.25">
      <c r="A68" t="s">
        <v>480</v>
      </c>
      <c r="B68" t="s">
        <v>459</v>
      </c>
      <c r="C68" t="s">
        <v>481</v>
      </c>
      <c r="M68" t="s">
        <v>539</v>
      </c>
    </row>
    <row r="69" spans="1:13" x14ac:dyDescent="0.25">
      <c r="A69" t="s">
        <v>482</v>
      </c>
    </row>
    <row r="70" spans="1:13" x14ac:dyDescent="0.25">
      <c r="A70" t="s">
        <v>483</v>
      </c>
      <c r="B70" t="s">
        <v>481</v>
      </c>
      <c r="C70">
        <v>78</v>
      </c>
      <c r="D70" t="s">
        <v>481</v>
      </c>
      <c r="E70" t="s">
        <v>481</v>
      </c>
      <c r="F70" t="s">
        <v>484</v>
      </c>
      <c r="H70" t="s">
        <v>485</v>
      </c>
    </row>
    <row r="71" spans="1:13" x14ac:dyDescent="0.25">
      <c r="A71" t="s">
        <v>486</v>
      </c>
      <c r="B71" t="s">
        <v>487</v>
      </c>
      <c r="C71" t="s">
        <v>488</v>
      </c>
    </row>
    <row r="72" spans="1:13" x14ac:dyDescent="0.25">
      <c r="A72" t="s">
        <v>489</v>
      </c>
    </row>
    <row r="73" spans="1:13" x14ac:dyDescent="0.25">
      <c r="A73" t="s">
        <v>490</v>
      </c>
      <c r="B73" t="s">
        <v>488</v>
      </c>
      <c r="C73">
        <v>74</v>
      </c>
    </row>
    <row r="74" spans="1:13" x14ac:dyDescent="0.25">
      <c r="A74" t="s">
        <v>491</v>
      </c>
      <c r="B74" t="s">
        <v>492</v>
      </c>
      <c r="C74" t="s">
        <v>493</v>
      </c>
      <c r="E74">
        <v>81</v>
      </c>
    </row>
    <row r="75" spans="1:13" x14ac:dyDescent="0.25">
      <c r="A75" t="s">
        <v>494</v>
      </c>
      <c r="B75" t="s">
        <v>492</v>
      </c>
      <c r="C75" t="s">
        <v>495</v>
      </c>
      <c r="E75">
        <v>84</v>
      </c>
    </row>
    <row r="76" spans="1:13" x14ac:dyDescent="0.25">
      <c r="A76" t="s">
        <v>496</v>
      </c>
      <c r="B76" t="s">
        <v>492</v>
      </c>
      <c r="C76" t="s">
        <v>497</v>
      </c>
      <c r="E76">
        <v>86</v>
      </c>
    </row>
    <row r="77" spans="1:13" x14ac:dyDescent="0.25">
      <c r="A77" t="s">
        <v>498</v>
      </c>
      <c r="B77" t="s">
        <v>499</v>
      </c>
      <c r="C77" t="s">
        <v>500</v>
      </c>
      <c r="E77">
        <v>67</v>
      </c>
    </row>
    <row r="78" spans="1:13" x14ac:dyDescent="0.25">
      <c r="A78" t="s">
        <v>501</v>
      </c>
      <c r="B78" t="s">
        <v>499</v>
      </c>
      <c r="C78" t="s">
        <v>502</v>
      </c>
      <c r="E78">
        <v>89</v>
      </c>
    </row>
    <row r="79" spans="1:13" x14ac:dyDescent="0.25">
      <c r="A79" t="s">
        <v>503</v>
      </c>
      <c r="B79" t="s">
        <v>499</v>
      </c>
      <c r="C79" t="s">
        <v>504</v>
      </c>
      <c r="E79">
        <v>71</v>
      </c>
    </row>
    <row r="80" spans="1:13" x14ac:dyDescent="0.25">
      <c r="A80" t="s">
        <v>505</v>
      </c>
      <c r="B80" t="s">
        <v>492</v>
      </c>
      <c r="C80" t="s">
        <v>506</v>
      </c>
      <c r="E80">
        <v>76</v>
      </c>
    </row>
    <row r="81" spans="1:6" x14ac:dyDescent="0.25">
      <c r="A81" t="s">
        <v>507</v>
      </c>
      <c r="B81" t="s">
        <v>508</v>
      </c>
      <c r="C81" t="s">
        <v>509</v>
      </c>
      <c r="E81">
        <v>95</v>
      </c>
    </row>
    <row r="82" spans="1:6" x14ac:dyDescent="0.25">
      <c r="A82" t="s">
        <v>510</v>
      </c>
      <c r="B82" t="s">
        <v>499</v>
      </c>
      <c r="C82" t="s">
        <v>511</v>
      </c>
      <c r="E82">
        <v>79</v>
      </c>
    </row>
    <row r="83" spans="1:6" x14ac:dyDescent="0.25">
      <c r="A83" t="s">
        <v>512</v>
      </c>
      <c r="B83" t="s">
        <v>513</v>
      </c>
      <c r="C83" t="s">
        <v>514</v>
      </c>
    </row>
    <row r="84" spans="1:6" x14ac:dyDescent="0.25">
      <c r="A84" t="s">
        <v>515</v>
      </c>
      <c r="B84" t="s">
        <v>514</v>
      </c>
      <c r="C84">
        <v>64</v>
      </c>
      <c r="D84" t="s">
        <v>514</v>
      </c>
    </row>
    <row r="85" spans="1:6" x14ac:dyDescent="0.25">
      <c r="A85" t="s">
        <v>516</v>
      </c>
      <c r="B85" t="s">
        <v>513</v>
      </c>
      <c r="C85" t="s">
        <v>517</v>
      </c>
    </row>
    <row r="86" spans="1:6" x14ac:dyDescent="0.25">
      <c r="A86" t="s">
        <v>518</v>
      </c>
      <c r="B86" t="s">
        <v>517</v>
      </c>
      <c r="C86">
        <v>68</v>
      </c>
      <c r="D86" t="s">
        <v>517</v>
      </c>
    </row>
    <row r="87" spans="1:6" x14ac:dyDescent="0.25">
      <c r="A87" t="s">
        <v>519</v>
      </c>
      <c r="B87" t="s">
        <v>513</v>
      </c>
      <c r="C87" t="s">
        <v>520</v>
      </c>
    </row>
    <row r="88" spans="1:6" x14ac:dyDescent="0.25">
      <c r="A88" t="s">
        <v>521</v>
      </c>
      <c r="B88" t="s">
        <v>520</v>
      </c>
      <c r="C88">
        <v>70</v>
      </c>
      <c r="D88" t="s">
        <v>520</v>
      </c>
    </row>
    <row r="89" spans="1:6" x14ac:dyDescent="0.25">
      <c r="A89" t="s">
        <v>522</v>
      </c>
      <c r="B89" t="s">
        <v>523</v>
      </c>
      <c r="F89" t="s">
        <v>524</v>
      </c>
    </row>
    <row r="90" spans="1:6" x14ac:dyDescent="0.25">
      <c r="A90" t="s">
        <v>525</v>
      </c>
      <c r="B90" t="s">
        <v>523</v>
      </c>
      <c r="F90" t="s">
        <v>526</v>
      </c>
    </row>
    <row r="91" spans="1:6" x14ac:dyDescent="0.25">
      <c r="A91" t="s">
        <v>527</v>
      </c>
      <c r="B91" t="s">
        <v>523</v>
      </c>
      <c r="F91" t="s">
        <v>528</v>
      </c>
    </row>
    <row r="92" spans="1:6" x14ac:dyDescent="0.25">
      <c r="A92" t="s">
        <v>468</v>
      </c>
      <c r="B92" t="s">
        <v>529</v>
      </c>
      <c r="F92" t="s">
        <v>473</v>
      </c>
    </row>
    <row r="93" spans="1:6" x14ac:dyDescent="0.25">
      <c r="A93" t="s">
        <v>530</v>
      </c>
      <c r="B93" t="s">
        <v>531</v>
      </c>
      <c r="F93" t="s">
        <v>532</v>
      </c>
    </row>
    <row r="94" spans="1:6" x14ac:dyDescent="0.25">
      <c r="A94" t="s">
        <v>336</v>
      </c>
      <c r="B94" t="s">
        <v>533</v>
      </c>
      <c r="F94" t="s">
        <v>339</v>
      </c>
    </row>
    <row r="95" spans="1:6" x14ac:dyDescent="0.25">
      <c r="A95" t="s">
        <v>534</v>
      </c>
      <c r="B95" t="s">
        <v>531</v>
      </c>
      <c r="C95" t="s">
        <v>535</v>
      </c>
    </row>
    <row r="96" spans="1:6" x14ac:dyDescent="0.25">
      <c r="A96" t="s">
        <v>536</v>
      </c>
      <c r="D96" t="s">
        <v>537</v>
      </c>
    </row>
    <row r="97" spans="1:6" x14ac:dyDescent="0.25">
      <c r="A97" t="s">
        <v>538</v>
      </c>
      <c r="B97" t="s">
        <v>531</v>
      </c>
      <c r="F97" t="s">
        <v>539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Codes</vt:lpstr>
      <vt:lpstr>States US</vt:lpstr>
      <vt:lpstr>firstCode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DMol</dc:creator>
  <cp:keywords>Regular expressions, unique member count</cp:keywords>
  <cp:lastModifiedBy>Robert</cp:lastModifiedBy>
  <dcterms:created xsi:type="dcterms:W3CDTF">2014-08-26T22:52:42Z</dcterms:created>
  <dcterms:modified xsi:type="dcterms:W3CDTF">2014-08-27T16:18:16Z</dcterms:modified>
</cp:coreProperties>
</file>