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!Other\Excel\Class Library\block diagram\"/>
    </mc:Choice>
  </mc:AlternateContent>
  <bookViews>
    <workbookView xWindow="0" yWindow="0" windowWidth="17280" windowHeight="12900"/>
  </bookViews>
  <sheets>
    <sheet name="Stock Calc Chart" sheetId="15" r:id="rId1"/>
    <sheet name="Sheet1" sheetId="16" r:id="rId2"/>
    <sheet name="Shapes" sheetId="14" r:id="rId3"/>
  </sheets>
  <functionGroups builtInGroupCount="18"/>
  <calcPr calcId="152511" refMode="R1C1"/>
</workbook>
</file>

<file path=xl/calcChain.xml><?xml version="1.0" encoding="utf-8"?>
<calcChain xmlns="http://schemas.openxmlformats.org/spreadsheetml/2006/main">
  <c r="J3" i="14" l="1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2" i="14"/>
  <c r="M2" i="14" l="1"/>
  <c r="N2" i="14" s="1"/>
  <c r="M3" i="14"/>
  <c r="N3" i="14" s="1"/>
  <c r="M4" i="14"/>
  <c r="N4" i="14" s="1"/>
  <c r="M5" i="14"/>
  <c r="N5" i="14" s="1"/>
  <c r="M6" i="14"/>
  <c r="N6" i="14" s="1"/>
  <c r="M7" i="14"/>
  <c r="N7" i="14" s="1"/>
  <c r="M8" i="14"/>
  <c r="N8" i="14" s="1"/>
  <c r="M9" i="14"/>
  <c r="N9" i="14" s="1"/>
  <c r="M10" i="14"/>
  <c r="N10" i="14" s="1"/>
  <c r="M11" i="14"/>
  <c r="N11" i="14" s="1"/>
  <c r="M12" i="14"/>
  <c r="N12" i="14" s="1"/>
  <c r="M13" i="14"/>
  <c r="N13" i="14" s="1"/>
  <c r="M14" i="14"/>
  <c r="N14" i="14" s="1"/>
  <c r="M15" i="14"/>
  <c r="N15" i="14" s="1"/>
  <c r="M16" i="14"/>
  <c r="N16" i="14" s="1"/>
  <c r="M17" i="14"/>
  <c r="N17" i="14" s="1"/>
  <c r="M18" i="14"/>
  <c r="N18" i="14" s="1"/>
  <c r="M19" i="14"/>
  <c r="N19" i="14" s="1"/>
  <c r="M20" i="14"/>
  <c r="N20" i="14" s="1"/>
  <c r="M21" i="14"/>
  <c r="N21" i="14" s="1"/>
  <c r="M22" i="14"/>
  <c r="N22" i="14" s="1"/>
  <c r="M23" i="14"/>
  <c r="N23" i="14" s="1"/>
  <c r="M24" i="14"/>
  <c r="N24" i="14" s="1"/>
  <c r="M25" i="14"/>
  <c r="N25" i="14" s="1"/>
  <c r="M26" i="14"/>
  <c r="N26" i="14" s="1"/>
  <c r="M27" i="14"/>
  <c r="N27" i="14" s="1"/>
  <c r="M28" i="14"/>
  <c r="N28" i="14" s="1"/>
  <c r="M29" i="14"/>
  <c r="N29" i="14" s="1"/>
  <c r="M30" i="14"/>
  <c r="N30" i="14" s="1"/>
  <c r="M31" i="14"/>
  <c r="N31" i="14" s="1"/>
  <c r="M32" i="14"/>
  <c r="N32" i="14" s="1"/>
  <c r="M33" i="14"/>
  <c r="N33" i="14" s="1"/>
  <c r="M34" i="14"/>
  <c r="N34" i="14" s="1"/>
  <c r="M35" i="14"/>
  <c r="N35" i="14" s="1"/>
  <c r="M36" i="14"/>
  <c r="N36" i="14" s="1"/>
  <c r="M37" i="14"/>
  <c r="N37" i="14" s="1"/>
  <c r="M38" i="14"/>
  <c r="N38" i="14" s="1"/>
  <c r="M39" i="14"/>
  <c r="N39" i="14" s="1"/>
  <c r="M40" i="14"/>
  <c r="N40" i="14" s="1"/>
  <c r="M41" i="14"/>
  <c r="N41" i="14" s="1"/>
  <c r="M42" i="14"/>
  <c r="N42" i="14" s="1"/>
  <c r="M43" i="14"/>
  <c r="N43" i="14" s="1"/>
  <c r="M44" i="14"/>
  <c r="N44" i="14" s="1"/>
  <c r="M45" i="14"/>
  <c r="N45" i="14" s="1"/>
  <c r="M46" i="14"/>
  <c r="N46" i="14" s="1"/>
  <c r="M47" i="14"/>
  <c r="N47" i="14" s="1"/>
  <c r="M48" i="14"/>
  <c r="N48" i="14" s="1"/>
  <c r="M49" i="14"/>
  <c r="N49" i="14" s="1"/>
  <c r="M50" i="14"/>
  <c r="N50" i="14" s="1"/>
  <c r="M51" i="14"/>
  <c r="N51" i="14" s="1"/>
  <c r="M52" i="14"/>
  <c r="N52" i="14" s="1"/>
  <c r="M53" i="14"/>
  <c r="N53" i="14" s="1"/>
  <c r="M54" i="14"/>
  <c r="N54" i="14" s="1"/>
  <c r="M55" i="14"/>
  <c r="N55" i="14" s="1"/>
  <c r="M56" i="14"/>
  <c r="N56" i="14" s="1"/>
  <c r="M57" i="14"/>
  <c r="N57" i="14" s="1"/>
  <c r="M58" i="14"/>
  <c r="N58" i="14" s="1"/>
  <c r="M59" i="14"/>
  <c r="N59" i="14" s="1"/>
  <c r="M60" i="14"/>
  <c r="N60" i="14" s="1"/>
  <c r="M61" i="14"/>
  <c r="N61" i="14" s="1"/>
  <c r="M62" i="14"/>
  <c r="N62" i="14" s="1"/>
  <c r="M63" i="14"/>
  <c r="N63" i="14" s="1"/>
  <c r="M64" i="14"/>
  <c r="N64" i="14" s="1"/>
  <c r="P1" i="14" l="1" a="1"/>
  <c r="S1" i="14" l="1"/>
  <c r="S38" i="14" s="1"/>
  <c r="W1" i="14"/>
  <c r="AA1" i="14"/>
  <c r="AE1" i="14"/>
  <c r="AI1" i="14"/>
  <c r="AM1" i="14"/>
  <c r="AQ1" i="14"/>
  <c r="AU1" i="14"/>
  <c r="AY1" i="14"/>
  <c r="BC1" i="14"/>
  <c r="P1" i="14"/>
  <c r="T1" i="14"/>
  <c r="X1" i="14"/>
  <c r="AB1" i="14"/>
  <c r="AF1" i="14"/>
  <c r="AJ1" i="14"/>
  <c r="AN1" i="14"/>
  <c r="AR1" i="14"/>
  <c r="AV1" i="14"/>
  <c r="AZ1" i="14"/>
  <c r="BD1" i="14"/>
  <c r="Q1" i="14"/>
  <c r="U1" i="14"/>
  <c r="Y1" i="14"/>
  <c r="AC1" i="14"/>
  <c r="AG1" i="14"/>
  <c r="AK1" i="14"/>
  <c r="AO1" i="14"/>
  <c r="AS1" i="14"/>
  <c r="AW1" i="14"/>
  <c r="BA1" i="14"/>
  <c r="BE1" i="14"/>
  <c r="R1" i="14"/>
  <c r="V1" i="14"/>
  <c r="Z1" i="14"/>
  <c r="AD1" i="14"/>
  <c r="AH1" i="14"/>
  <c r="AL1" i="14"/>
  <c r="AP1" i="14"/>
  <c r="AT1" i="14"/>
  <c r="AX1" i="14"/>
  <c r="BB1" i="14"/>
  <c r="AT23" i="14" l="1"/>
  <c r="AT15" i="14"/>
  <c r="AT7" i="14"/>
  <c r="AT3" i="14"/>
  <c r="AT19" i="14"/>
  <c r="AT41" i="14"/>
  <c r="AT29" i="14"/>
  <c r="AT25" i="14"/>
  <c r="AT17" i="14"/>
  <c r="AT5" i="14"/>
  <c r="AT33" i="14"/>
  <c r="AT36" i="14"/>
  <c r="AT20" i="14"/>
  <c r="AT16" i="14"/>
  <c r="AT8" i="14"/>
  <c r="AT4" i="14"/>
  <c r="AT6" i="14"/>
  <c r="AT30" i="14"/>
  <c r="AT37" i="14"/>
  <c r="AT9" i="14"/>
  <c r="AT32" i="14"/>
  <c r="AT39" i="14"/>
  <c r="AT35" i="14"/>
  <c r="AT10" i="14"/>
  <c r="AT34" i="14"/>
  <c r="AT26" i="14"/>
  <c r="AT14" i="14"/>
  <c r="AT21" i="14"/>
  <c r="AT28" i="14"/>
  <c r="AT12" i="14"/>
  <c r="AT22" i="14"/>
  <c r="AT40" i="14"/>
  <c r="AT13" i="14"/>
  <c r="AT24" i="14"/>
  <c r="AT43" i="14"/>
  <c r="AT31" i="14"/>
  <c r="AT11" i="14"/>
  <c r="AT27" i="14"/>
  <c r="AT38" i="14"/>
  <c r="AT18" i="14"/>
  <c r="AT2" i="14"/>
  <c r="AT42" i="14"/>
  <c r="BE3" i="14"/>
  <c r="BE14" i="14"/>
  <c r="BE34" i="14"/>
  <c r="BE15" i="14"/>
  <c r="BE24" i="14"/>
  <c r="BE6" i="14"/>
  <c r="BE8" i="14"/>
  <c r="BE4" i="14"/>
  <c r="BE10" i="14"/>
  <c r="BE2" i="14"/>
  <c r="BE29" i="14"/>
  <c r="BE17" i="14"/>
  <c r="BE33" i="14"/>
  <c r="BE40" i="14"/>
  <c r="BE36" i="14"/>
  <c r="BE20" i="14"/>
  <c r="BE16" i="14"/>
  <c r="BE13" i="14"/>
  <c r="BE5" i="14"/>
  <c r="BE30" i="14"/>
  <c r="BE32" i="14"/>
  <c r="BE28" i="14"/>
  <c r="BE12" i="14"/>
  <c r="BE18" i="14"/>
  <c r="BE39" i="14"/>
  <c r="BE27" i="14"/>
  <c r="BE19" i="14"/>
  <c r="BE11" i="14"/>
  <c r="BE35" i="14"/>
  <c r="BE7" i="14"/>
  <c r="BE21" i="14"/>
  <c r="BE9" i="14"/>
  <c r="BE41" i="14"/>
  <c r="BE43" i="14"/>
  <c r="BE37" i="14"/>
  <c r="BE22" i="14"/>
  <c r="BE31" i="14"/>
  <c r="BE26" i="14"/>
  <c r="BE42" i="14"/>
  <c r="BE25" i="14"/>
  <c r="BE38" i="14"/>
  <c r="BE23" i="14"/>
  <c r="Y7" i="14"/>
  <c r="Y3" i="14"/>
  <c r="Y18" i="14"/>
  <c r="Y14" i="14"/>
  <c r="Y34" i="14"/>
  <c r="Y15" i="14"/>
  <c r="Y6" i="14"/>
  <c r="Y4" i="14"/>
  <c r="Y10" i="14"/>
  <c r="Y2" i="14"/>
  <c r="Y8" i="14"/>
  <c r="Y29" i="14"/>
  <c r="Y17" i="14"/>
  <c r="Y33" i="14"/>
  <c r="Y36" i="14"/>
  <c r="Y20" i="14"/>
  <c r="Y35" i="14"/>
  <c r="Y23" i="14"/>
  <c r="Y5" i="14"/>
  <c r="Y16" i="14"/>
  <c r="Y40" i="14"/>
  <c r="Y32" i="14"/>
  <c r="Y28" i="14"/>
  <c r="Y39" i="14"/>
  <c r="Y27" i="14"/>
  <c r="Y19" i="14"/>
  <c r="Y30" i="14"/>
  <c r="Y26" i="14"/>
  <c r="Y21" i="14"/>
  <c r="Y9" i="14"/>
  <c r="Y12" i="14"/>
  <c r="Y22" i="14"/>
  <c r="Y43" i="14"/>
  <c r="Y11" i="14"/>
  <c r="Y25" i="14"/>
  <c r="Y41" i="14"/>
  <c r="Y37" i="14"/>
  <c r="Y31" i="14"/>
  <c r="Y24" i="14"/>
  <c r="Y13" i="14"/>
  <c r="Y42" i="14"/>
  <c r="Y38" i="14"/>
  <c r="AJ14" i="14"/>
  <c r="AJ10" i="14"/>
  <c r="AJ6" i="14"/>
  <c r="AJ4" i="14"/>
  <c r="AJ42" i="14"/>
  <c r="AJ24" i="14"/>
  <c r="AJ20" i="14"/>
  <c r="AJ17" i="14"/>
  <c r="AJ13" i="14"/>
  <c r="AJ32" i="14"/>
  <c r="AJ28" i="14"/>
  <c r="AJ16" i="14"/>
  <c r="AJ31" i="14"/>
  <c r="AJ15" i="14"/>
  <c r="AJ3" i="14"/>
  <c r="AJ7" i="14"/>
  <c r="AJ22" i="14"/>
  <c r="AJ34" i="14"/>
  <c r="AJ5" i="14"/>
  <c r="AJ25" i="14"/>
  <c r="AJ8" i="14"/>
  <c r="AJ40" i="14"/>
  <c r="AJ36" i="14"/>
  <c r="AJ12" i="14"/>
  <c r="AJ39" i="14"/>
  <c r="AJ35" i="14"/>
  <c r="AJ19" i="14"/>
  <c r="AJ11" i="14"/>
  <c r="AJ38" i="14"/>
  <c r="AJ37" i="14"/>
  <c r="AJ21" i="14"/>
  <c r="AJ9" i="14"/>
  <c r="AJ41" i="14"/>
  <c r="AJ33" i="14"/>
  <c r="AJ43" i="14"/>
  <c r="AJ23" i="14"/>
  <c r="AJ18" i="14"/>
  <c r="AJ30" i="14"/>
  <c r="AJ26" i="14"/>
  <c r="AJ29" i="14"/>
  <c r="AJ27" i="14"/>
  <c r="AJ2" i="14"/>
  <c r="AE23" i="14"/>
  <c r="AE19" i="14"/>
  <c r="AE15" i="14"/>
  <c r="AE14" i="14"/>
  <c r="AE27" i="14"/>
  <c r="AE36" i="14"/>
  <c r="AE7" i="14"/>
  <c r="AE35" i="14"/>
  <c r="AE16" i="14"/>
  <c r="AE11" i="14"/>
  <c r="AE3" i="14"/>
  <c r="AE29" i="14"/>
  <c r="AE25" i="14"/>
  <c r="AE5" i="14"/>
  <c r="AE33" i="14"/>
  <c r="AE2" i="14"/>
  <c r="AE40" i="14"/>
  <c r="AE32" i="14"/>
  <c r="AE28" i="14"/>
  <c r="AE24" i="14"/>
  <c r="AE43" i="14"/>
  <c r="AE42" i="14"/>
  <c r="AE38" i="14"/>
  <c r="AE34" i="14"/>
  <c r="AE41" i="14"/>
  <c r="AE17" i="14"/>
  <c r="AE22" i="14"/>
  <c r="AE18" i="14"/>
  <c r="AE6" i="14"/>
  <c r="AE37" i="14"/>
  <c r="AE13" i="14"/>
  <c r="AE9" i="14"/>
  <c r="AE31" i="14"/>
  <c r="AE26" i="14"/>
  <c r="AE30" i="14"/>
  <c r="AE10" i="14"/>
  <c r="AE20" i="14"/>
  <c r="AE21" i="14"/>
  <c r="AE39" i="14"/>
  <c r="AE8" i="14"/>
  <c r="AE12" i="14"/>
  <c r="AE4" i="14"/>
  <c r="AP15" i="14"/>
  <c r="AP7" i="14"/>
  <c r="AP3" i="14"/>
  <c r="AP13" i="14"/>
  <c r="AP12" i="14"/>
  <c r="AP34" i="14"/>
  <c r="AP31" i="14"/>
  <c r="AP10" i="14"/>
  <c r="AP19" i="14"/>
  <c r="AP29" i="14"/>
  <c r="AP5" i="14"/>
  <c r="AP33" i="14"/>
  <c r="AP21" i="14"/>
  <c r="AP36" i="14"/>
  <c r="AP32" i="14"/>
  <c r="AP28" i="14"/>
  <c r="AP24" i="14"/>
  <c r="AP20" i="14"/>
  <c r="AP16" i="14"/>
  <c r="AP8" i="14"/>
  <c r="AP4" i="14"/>
  <c r="AP23" i="14"/>
  <c r="AP26" i="14"/>
  <c r="AP43" i="14"/>
  <c r="AP17" i="14"/>
  <c r="AP37" i="14"/>
  <c r="AP2" i="14"/>
  <c r="AP39" i="14"/>
  <c r="AP42" i="14"/>
  <c r="AP18" i="14"/>
  <c r="AP40" i="14"/>
  <c r="AP27" i="14"/>
  <c r="AP6" i="14"/>
  <c r="AP38" i="14"/>
  <c r="AP30" i="14"/>
  <c r="AP41" i="14"/>
  <c r="AP25" i="14"/>
  <c r="AP9" i="14"/>
  <c r="AP22" i="14"/>
  <c r="AP35" i="14"/>
  <c r="AP11" i="14"/>
  <c r="AP14" i="14"/>
  <c r="BA3" i="14"/>
  <c r="BA15" i="14"/>
  <c r="BA8" i="14"/>
  <c r="BA6" i="14"/>
  <c r="BA4" i="14"/>
  <c r="BA10" i="14"/>
  <c r="BA2" i="14"/>
  <c r="BA41" i="14"/>
  <c r="BA25" i="14"/>
  <c r="BA24" i="14"/>
  <c r="BA20" i="14"/>
  <c r="BA43" i="14"/>
  <c r="BA31" i="14"/>
  <c r="BA30" i="14"/>
  <c r="BA29" i="14"/>
  <c r="BA17" i="14"/>
  <c r="BA33" i="14"/>
  <c r="BA14" i="14"/>
  <c r="BA36" i="14"/>
  <c r="BA35" i="14"/>
  <c r="BA38" i="14"/>
  <c r="BA34" i="14"/>
  <c r="BA11" i="14"/>
  <c r="BA13" i="14"/>
  <c r="BA5" i="14"/>
  <c r="BA12" i="14"/>
  <c r="BA23" i="14"/>
  <c r="BA18" i="14"/>
  <c r="BA22" i="14"/>
  <c r="BA42" i="14"/>
  <c r="BA21" i="14"/>
  <c r="BA40" i="14"/>
  <c r="BA28" i="14"/>
  <c r="BA37" i="14"/>
  <c r="BA19" i="14"/>
  <c r="BA7" i="14"/>
  <c r="BA9" i="14"/>
  <c r="BA26" i="14"/>
  <c r="BA32" i="14"/>
  <c r="BA27" i="14"/>
  <c r="BA16" i="14"/>
  <c r="BA39" i="14"/>
  <c r="AK3" i="14"/>
  <c r="AK15" i="14"/>
  <c r="AK8" i="14"/>
  <c r="AK2" i="14"/>
  <c r="AK26" i="14"/>
  <c r="AK6" i="14"/>
  <c r="AK28" i="14"/>
  <c r="AK4" i="14"/>
  <c r="AK10" i="14"/>
  <c r="AK41" i="14"/>
  <c r="AK25" i="14"/>
  <c r="AK40" i="14"/>
  <c r="AK16" i="14"/>
  <c r="AK43" i="14"/>
  <c r="AK31" i="14"/>
  <c r="AK29" i="14"/>
  <c r="AK17" i="14"/>
  <c r="AK13" i="14"/>
  <c r="AK33" i="14"/>
  <c r="AK36" i="14"/>
  <c r="AK24" i="14"/>
  <c r="AK35" i="14"/>
  <c r="AK23" i="14"/>
  <c r="AK37" i="14"/>
  <c r="AK5" i="14"/>
  <c r="AK9" i="14"/>
  <c r="AK34" i="14"/>
  <c r="AK7" i="14"/>
  <c r="AK21" i="14"/>
  <c r="AK32" i="14"/>
  <c r="AK11" i="14"/>
  <c r="AK22" i="14"/>
  <c r="AK12" i="14"/>
  <c r="AK39" i="14"/>
  <c r="AK14" i="14"/>
  <c r="AK42" i="14"/>
  <c r="AK38" i="14"/>
  <c r="AK30" i="14"/>
  <c r="AK18" i="14"/>
  <c r="AK27" i="14"/>
  <c r="AK19" i="14"/>
  <c r="AK20" i="14"/>
  <c r="U7" i="14"/>
  <c r="U3" i="14"/>
  <c r="U15" i="14"/>
  <c r="U8" i="14"/>
  <c r="U10" i="14"/>
  <c r="U6" i="14"/>
  <c r="U4" i="14"/>
  <c r="U2" i="14"/>
  <c r="U41" i="14"/>
  <c r="U25" i="14"/>
  <c r="U13" i="14"/>
  <c r="U32" i="14"/>
  <c r="U20" i="14"/>
  <c r="U43" i="14"/>
  <c r="U31" i="14"/>
  <c r="U30" i="14"/>
  <c r="U37" i="14"/>
  <c r="U29" i="14"/>
  <c r="U17" i="14"/>
  <c r="U33" i="14"/>
  <c r="U36" i="14"/>
  <c r="U12" i="14"/>
  <c r="U35" i="14"/>
  <c r="U23" i="14"/>
  <c r="U34" i="14"/>
  <c r="U5" i="14"/>
  <c r="U28" i="14"/>
  <c r="U14" i="14"/>
  <c r="U26" i="14"/>
  <c r="U38" i="14"/>
  <c r="U9" i="14"/>
  <c r="U24" i="14"/>
  <c r="U16" i="14"/>
  <c r="U21" i="14"/>
  <c r="U27" i="14"/>
  <c r="U18" i="14"/>
  <c r="U22" i="14"/>
  <c r="U39" i="14"/>
  <c r="U19" i="14"/>
  <c r="U11" i="14"/>
  <c r="U42" i="14"/>
  <c r="U40" i="14"/>
  <c r="AV35" i="14"/>
  <c r="AV27" i="14"/>
  <c r="AV18" i="14"/>
  <c r="AV26" i="14"/>
  <c r="AV10" i="14"/>
  <c r="AV6" i="14"/>
  <c r="AV22" i="14"/>
  <c r="AV41" i="14"/>
  <c r="AV29" i="14"/>
  <c r="AV33" i="14"/>
  <c r="AV24" i="14"/>
  <c r="AV16" i="14"/>
  <c r="AV12" i="14"/>
  <c r="AV43" i="14"/>
  <c r="AV23" i="14"/>
  <c r="AV11" i="14"/>
  <c r="AV14" i="14"/>
  <c r="AV30" i="14"/>
  <c r="AV17" i="14"/>
  <c r="AV13" i="14"/>
  <c r="AV2" i="14"/>
  <c r="AV32" i="14"/>
  <c r="AV28" i="14"/>
  <c r="AV4" i="14"/>
  <c r="AV15" i="14"/>
  <c r="AV42" i="14"/>
  <c r="AV38" i="14"/>
  <c r="AV34" i="14"/>
  <c r="AV31" i="14"/>
  <c r="AV25" i="14"/>
  <c r="AV5" i="14"/>
  <c r="AV21" i="14"/>
  <c r="AV40" i="14"/>
  <c r="AV20" i="14"/>
  <c r="AV7" i="14"/>
  <c r="AV9" i="14"/>
  <c r="AV36" i="14"/>
  <c r="AV8" i="14"/>
  <c r="AV3" i="14"/>
  <c r="AV19" i="14"/>
  <c r="AV37" i="14"/>
  <c r="AV39" i="14"/>
  <c r="AF35" i="14"/>
  <c r="AF27" i="14"/>
  <c r="AF18" i="14"/>
  <c r="AF10" i="14"/>
  <c r="AF6" i="14"/>
  <c r="AF22" i="14"/>
  <c r="AF41" i="14"/>
  <c r="AF25" i="14"/>
  <c r="AF40" i="14"/>
  <c r="AF43" i="14"/>
  <c r="AF23" i="14"/>
  <c r="AF11" i="14"/>
  <c r="AF26" i="14"/>
  <c r="AF30" i="14"/>
  <c r="AF17" i="14"/>
  <c r="AF13" i="14"/>
  <c r="AF32" i="14"/>
  <c r="AF28" i="14"/>
  <c r="AF20" i="14"/>
  <c r="AF16" i="14"/>
  <c r="AF8" i="14"/>
  <c r="AF15" i="14"/>
  <c r="AF14" i="14"/>
  <c r="AF34" i="14"/>
  <c r="AF29" i="14"/>
  <c r="AF5" i="14"/>
  <c r="AF33" i="14"/>
  <c r="AF37" i="14"/>
  <c r="AF2" i="14"/>
  <c r="AF3" i="14"/>
  <c r="AF42" i="14"/>
  <c r="AF31" i="14"/>
  <c r="AF21" i="14"/>
  <c r="AF12" i="14"/>
  <c r="AF4" i="14"/>
  <c r="AF7" i="14"/>
  <c r="AF38" i="14"/>
  <c r="AF24" i="14"/>
  <c r="AF36" i="14"/>
  <c r="AF19" i="14"/>
  <c r="AF39" i="14"/>
  <c r="AF9" i="14"/>
  <c r="P35" i="14"/>
  <c r="P18" i="14"/>
  <c r="P10" i="14"/>
  <c r="P6" i="14"/>
  <c r="P27" i="14"/>
  <c r="P22" i="14"/>
  <c r="P26" i="14"/>
  <c r="P41" i="14"/>
  <c r="P29" i="14"/>
  <c r="P33" i="14"/>
  <c r="P36" i="14"/>
  <c r="P16" i="14"/>
  <c r="P43" i="14"/>
  <c r="P23" i="14"/>
  <c r="P11" i="14"/>
  <c r="P30" i="14"/>
  <c r="P25" i="14"/>
  <c r="P17" i="14"/>
  <c r="P13" i="14"/>
  <c r="P2" i="14"/>
  <c r="P40" i="14"/>
  <c r="P32" i="14"/>
  <c r="P28" i="14"/>
  <c r="P4" i="14"/>
  <c r="P15" i="14"/>
  <c r="P42" i="14"/>
  <c r="P34" i="14"/>
  <c r="P5" i="14"/>
  <c r="P9" i="14"/>
  <c r="P8" i="14"/>
  <c r="P7" i="14"/>
  <c r="P38" i="14"/>
  <c r="P37" i="14"/>
  <c r="P21" i="14"/>
  <c r="P24" i="14"/>
  <c r="P20" i="14"/>
  <c r="P3" i="14"/>
  <c r="P39" i="14"/>
  <c r="P12" i="14"/>
  <c r="P14" i="14"/>
  <c r="P31" i="14"/>
  <c r="P19" i="14"/>
  <c r="AA43" i="14"/>
  <c r="AA11" i="14"/>
  <c r="AA7" i="14"/>
  <c r="AA3" i="14"/>
  <c r="AA41" i="14"/>
  <c r="AA25" i="14"/>
  <c r="AA12" i="14"/>
  <c r="AA27" i="14"/>
  <c r="AA14" i="14"/>
  <c r="AA30" i="14"/>
  <c r="AA26" i="14"/>
  <c r="AA29" i="14"/>
  <c r="AA33" i="14"/>
  <c r="AA21" i="14"/>
  <c r="AA9" i="14"/>
  <c r="AA2" i="14"/>
  <c r="AA40" i="14"/>
  <c r="AA32" i="14"/>
  <c r="AA28" i="14"/>
  <c r="AA24" i="14"/>
  <c r="AA42" i="14"/>
  <c r="AA38" i="14"/>
  <c r="AA34" i="14"/>
  <c r="AA4" i="14"/>
  <c r="AA35" i="14"/>
  <c r="AA15" i="14"/>
  <c r="AA17" i="14"/>
  <c r="AA36" i="14"/>
  <c r="AA20" i="14"/>
  <c r="AA8" i="14"/>
  <c r="AA19" i="14"/>
  <c r="AA13" i="14"/>
  <c r="AA5" i="14"/>
  <c r="AA16" i="14"/>
  <c r="AA10" i="14"/>
  <c r="AA18" i="14"/>
  <c r="AA37" i="14"/>
  <c r="AA22" i="14"/>
  <c r="AA23" i="14"/>
  <c r="AA39" i="14"/>
  <c r="AA31" i="14"/>
  <c r="AA6" i="14"/>
  <c r="BB11" i="14"/>
  <c r="BB19" i="14"/>
  <c r="BB7" i="14"/>
  <c r="BB3" i="14"/>
  <c r="BB9" i="14"/>
  <c r="BB2" i="14"/>
  <c r="BB40" i="14"/>
  <c r="BB24" i="14"/>
  <c r="BB39" i="14"/>
  <c r="BB27" i="14"/>
  <c r="BB15" i="14"/>
  <c r="BB42" i="14"/>
  <c r="BB38" i="14"/>
  <c r="BB34" i="14"/>
  <c r="BB21" i="14"/>
  <c r="BB12" i="14"/>
  <c r="BB31" i="14"/>
  <c r="BB22" i="14"/>
  <c r="BB18" i="14"/>
  <c r="BB26" i="14"/>
  <c r="BB41" i="14"/>
  <c r="BB29" i="14"/>
  <c r="BB25" i="14"/>
  <c r="BB13" i="14"/>
  <c r="BB33" i="14"/>
  <c r="BB37" i="14"/>
  <c r="BB17" i="14"/>
  <c r="BB32" i="14"/>
  <c r="BB30" i="14"/>
  <c r="BB5" i="14"/>
  <c r="BB28" i="14"/>
  <c r="BB35" i="14"/>
  <c r="BB23" i="14"/>
  <c r="BB10" i="14"/>
  <c r="BB4" i="14"/>
  <c r="BB43" i="14"/>
  <c r="BB20" i="14"/>
  <c r="BB16" i="14"/>
  <c r="BB6" i="14"/>
  <c r="BB14" i="14"/>
  <c r="BB36" i="14"/>
  <c r="BB8" i="14"/>
  <c r="AL19" i="14"/>
  <c r="AL11" i="14"/>
  <c r="AL7" i="14"/>
  <c r="AL3" i="14"/>
  <c r="AL23" i="14"/>
  <c r="AL2" i="14"/>
  <c r="AL40" i="14"/>
  <c r="AL32" i="14"/>
  <c r="AL28" i="14"/>
  <c r="AL43" i="14"/>
  <c r="AL27" i="14"/>
  <c r="AL42" i="14"/>
  <c r="AL38" i="14"/>
  <c r="AL37" i="14"/>
  <c r="AL17" i="14"/>
  <c r="AL13" i="14"/>
  <c r="AL5" i="14"/>
  <c r="AL12" i="14"/>
  <c r="AL31" i="14"/>
  <c r="AL15" i="14"/>
  <c r="AL30" i="14"/>
  <c r="AL22" i="14"/>
  <c r="AL18" i="14"/>
  <c r="AL29" i="14"/>
  <c r="AL33" i="14"/>
  <c r="AL25" i="14"/>
  <c r="AL21" i="14"/>
  <c r="AL35" i="14"/>
  <c r="AL10" i="14"/>
  <c r="AL14" i="14"/>
  <c r="AL41" i="14"/>
  <c r="AL9" i="14"/>
  <c r="AL24" i="14"/>
  <c r="AL36" i="14"/>
  <c r="AL8" i="14"/>
  <c r="AL34" i="14"/>
  <c r="AL4" i="14"/>
  <c r="AL20" i="14"/>
  <c r="AL16" i="14"/>
  <c r="AL39" i="14"/>
  <c r="AL6" i="14"/>
  <c r="AL26" i="14"/>
  <c r="V19" i="14"/>
  <c r="V11" i="14"/>
  <c r="V7" i="14"/>
  <c r="V3" i="14"/>
  <c r="V23" i="14"/>
  <c r="V41" i="14"/>
  <c r="V37" i="14"/>
  <c r="V13" i="14"/>
  <c r="V9" i="14"/>
  <c r="V2" i="14"/>
  <c r="V40" i="14"/>
  <c r="V39" i="14"/>
  <c r="V27" i="14"/>
  <c r="V42" i="14"/>
  <c r="V38" i="14"/>
  <c r="V34" i="14"/>
  <c r="V25" i="14"/>
  <c r="V21" i="14"/>
  <c r="V32" i="14"/>
  <c r="V28" i="14"/>
  <c r="V12" i="14"/>
  <c r="V31" i="14"/>
  <c r="V22" i="14"/>
  <c r="V18" i="14"/>
  <c r="V29" i="14"/>
  <c r="V33" i="14"/>
  <c r="V26" i="14"/>
  <c r="V17" i="14"/>
  <c r="V35" i="14"/>
  <c r="V10" i="14"/>
  <c r="V30" i="14"/>
  <c r="V36" i="14"/>
  <c r="V8" i="14"/>
  <c r="V43" i="14"/>
  <c r="V6" i="14"/>
  <c r="V15" i="14"/>
  <c r="V14" i="14"/>
  <c r="V4" i="14"/>
  <c r="V5" i="14"/>
  <c r="V24" i="14"/>
  <c r="V20" i="14"/>
  <c r="V16" i="14"/>
  <c r="AW3" i="14"/>
  <c r="AW18" i="14"/>
  <c r="AW11" i="14"/>
  <c r="AW12" i="14"/>
  <c r="AW10" i="14"/>
  <c r="AW2" i="14"/>
  <c r="AW8" i="14"/>
  <c r="AW6" i="14"/>
  <c r="AW30" i="14"/>
  <c r="AW4" i="14"/>
  <c r="AW37" i="14"/>
  <c r="AW21" i="14"/>
  <c r="AW9" i="14"/>
  <c r="AW34" i="14"/>
  <c r="AW40" i="14"/>
  <c r="AW23" i="14"/>
  <c r="AW41" i="14"/>
  <c r="AW25" i="14"/>
  <c r="AW24" i="14"/>
  <c r="AW20" i="14"/>
  <c r="AW16" i="14"/>
  <c r="AW43" i="14"/>
  <c r="AW31" i="14"/>
  <c r="AW29" i="14"/>
  <c r="AW17" i="14"/>
  <c r="AW33" i="14"/>
  <c r="AW26" i="14"/>
  <c r="AW39" i="14"/>
  <c r="AW19" i="14"/>
  <c r="AW42" i="14"/>
  <c r="AW5" i="14"/>
  <c r="AW13" i="14"/>
  <c r="AW27" i="14"/>
  <c r="AW15" i="14"/>
  <c r="AW38" i="14"/>
  <c r="AW7" i="14"/>
  <c r="AW14" i="14"/>
  <c r="AW32" i="14"/>
  <c r="AW36" i="14"/>
  <c r="AW28" i="14"/>
  <c r="AW22" i="14"/>
  <c r="AW35" i="14"/>
  <c r="AG7" i="14"/>
  <c r="AG3" i="14"/>
  <c r="AG18" i="14"/>
  <c r="AG30" i="14"/>
  <c r="AG10" i="14"/>
  <c r="AG2" i="14"/>
  <c r="AG8" i="14"/>
  <c r="AG6" i="14"/>
  <c r="AG4" i="14"/>
  <c r="AG21" i="14"/>
  <c r="AG9" i="14"/>
  <c r="AG32" i="14"/>
  <c r="AG28" i="14"/>
  <c r="AG24" i="14"/>
  <c r="AG22" i="14"/>
  <c r="AG15" i="14"/>
  <c r="AG41" i="14"/>
  <c r="AG25" i="14"/>
  <c r="AG40" i="14"/>
  <c r="AG43" i="14"/>
  <c r="AG31" i="14"/>
  <c r="AG42" i="14"/>
  <c r="AG38" i="14"/>
  <c r="AG11" i="14"/>
  <c r="AG14" i="14"/>
  <c r="AG37" i="14"/>
  <c r="AG29" i="14"/>
  <c r="AG17" i="14"/>
  <c r="AG13" i="14"/>
  <c r="AG33" i="14"/>
  <c r="AG27" i="14"/>
  <c r="AG5" i="14"/>
  <c r="AG20" i="14"/>
  <c r="AG39" i="14"/>
  <c r="AG19" i="14"/>
  <c r="AG35" i="14"/>
  <c r="AG26" i="14"/>
  <c r="AG23" i="14"/>
  <c r="AG16" i="14"/>
  <c r="AG34" i="14"/>
  <c r="AG36" i="14"/>
  <c r="AG12" i="14"/>
  <c r="Q7" i="14"/>
  <c r="Q3" i="14"/>
  <c r="Q18" i="14"/>
  <c r="Q30" i="14"/>
  <c r="Q10" i="14"/>
  <c r="Q2" i="14"/>
  <c r="Q4" i="14"/>
  <c r="Q8" i="14"/>
  <c r="Q6" i="14"/>
  <c r="Q37" i="14"/>
  <c r="Q21" i="14"/>
  <c r="Q9" i="14"/>
  <c r="Q26" i="14"/>
  <c r="Q41" i="14"/>
  <c r="Q25" i="14"/>
  <c r="Q13" i="14"/>
  <c r="Q20" i="14"/>
  <c r="Q16" i="14"/>
  <c r="Q43" i="14"/>
  <c r="Q31" i="14"/>
  <c r="Q15" i="14"/>
  <c r="Q34" i="14"/>
  <c r="Q38" i="14"/>
  <c r="Q11" i="14"/>
  <c r="Q29" i="14"/>
  <c r="Q17" i="14"/>
  <c r="Q33" i="14"/>
  <c r="Q12" i="14"/>
  <c r="Q24" i="14"/>
  <c r="Q39" i="14"/>
  <c r="Q19" i="14"/>
  <c r="Q27" i="14"/>
  <c r="Q42" i="14"/>
  <c r="Q36" i="14"/>
  <c r="Q40" i="14"/>
  <c r="Q32" i="14"/>
  <c r="Q22" i="14"/>
  <c r="Q35" i="14"/>
  <c r="Q5" i="14"/>
  <c r="Q23" i="14"/>
  <c r="Q14" i="14"/>
  <c r="Q28" i="14"/>
  <c r="AR10" i="14"/>
  <c r="AR6" i="14"/>
  <c r="AR38" i="14"/>
  <c r="AR16" i="14"/>
  <c r="AR37" i="14"/>
  <c r="AR29" i="14"/>
  <c r="AR25" i="14"/>
  <c r="AR20" i="14"/>
  <c r="AR21" i="14"/>
  <c r="AR9" i="14"/>
  <c r="AR40" i="14"/>
  <c r="AR36" i="14"/>
  <c r="AR35" i="14"/>
  <c r="AR18" i="14"/>
  <c r="AR42" i="14"/>
  <c r="AR41" i="14"/>
  <c r="AR12" i="14"/>
  <c r="AR43" i="14"/>
  <c r="AR27" i="14"/>
  <c r="AR23" i="14"/>
  <c r="AR11" i="14"/>
  <c r="AR22" i="14"/>
  <c r="AR30" i="14"/>
  <c r="AR17" i="14"/>
  <c r="AR13" i="14"/>
  <c r="AR33" i="14"/>
  <c r="AR5" i="14"/>
  <c r="AR2" i="14"/>
  <c r="AR31" i="14"/>
  <c r="AR4" i="14"/>
  <c r="AR39" i="14"/>
  <c r="AR19" i="14"/>
  <c r="AR26" i="14"/>
  <c r="AR28" i="14"/>
  <c r="AR3" i="14"/>
  <c r="AR14" i="14"/>
  <c r="AR8" i="14"/>
  <c r="AR7" i="14"/>
  <c r="AR34" i="14"/>
  <c r="AR32" i="14"/>
  <c r="AR24" i="14"/>
  <c r="AR15" i="14"/>
  <c r="AB10" i="14"/>
  <c r="AB6" i="14"/>
  <c r="AB4" i="14"/>
  <c r="AB37" i="14"/>
  <c r="AB21" i="14"/>
  <c r="AB9" i="14"/>
  <c r="AB8" i="14"/>
  <c r="AB12" i="14"/>
  <c r="AB41" i="14"/>
  <c r="AB29" i="14"/>
  <c r="AB24" i="14"/>
  <c r="AB2" i="14"/>
  <c r="AB20" i="14"/>
  <c r="AB26" i="14"/>
  <c r="AB43" i="14"/>
  <c r="AB31" i="14"/>
  <c r="AB23" i="14"/>
  <c r="AB42" i="14"/>
  <c r="AB30" i="14"/>
  <c r="AB17" i="14"/>
  <c r="AB13" i="14"/>
  <c r="AB39" i="14"/>
  <c r="AB27" i="14"/>
  <c r="AB19" i="14"/>
  <c r="AB11" i="14"/>
  <c r="AB22" i="14"/>
  <c r="AB25" i="14"/>
  <c r="AB5" i="14"/>
  <c r="AB38" i="14"/>
  <c r="AB16" i="14"/>
  <c r="AB40" i="14"/>
  <c r="AB15" i="14"/>
  <c r="AB7" i="14"/>
  <c r="AB34" i="14"/>
  <c r="AB36" i="14"/>
  <c r="AB28" i="14"/>
  <c r="AB3" i="14"/>
  <c r="AB18" i="14"/>
  <c r="AB35" i="14"/>
  <c r="AB33" i="14"/>
  <c r="AB32" i="14"/>
  <c r="AB14" i="14"/>
  <c r="BC19" i="14"/>
  <c r="BC31" i="14"/>
  <c r="BC3" i="14"/>
  <c r="BC11" i="14"/>
  <c r="BC7" i="14"/>
  <c r="BC37" i="14"/>
  <c r="BC21" i="14"/>
  <c r="BC6" i="14"/>
  <c r="BC36" i="14"/>
  <c r="BC20" i="14"/>
  <c r="BC8" i="14"/>
  <c r="BC4" i="14"/>
  <c r="BC27" i="14"/>
  <c r="BC9" i="14"/>
  <c r="BC29" i="14"/>
  <c r="BC13" i="14"/>
  <c r="BC33" i="14"/>
  <c r="BC16" i="14"/>
  <c r="BC43" i="14"/>
  <c r="BC23" i="14"/>
  <c r="BC30" i="14"/>
  <c r="BC26" i="14"/>
  <c r="BC14" i="14"/>
  <c r="BC15" i="14"/>
  <c r="BC25" i="14"/>
  <c r="BC17" i="14"/>
  <c r="BC41" i="14"/>
  <c r="BC12" i="14"/>
  <c r="BC2" i="14"/>
  <c r="BC5" i="14"/>
  <c r="BC10" i="14"/>
  <c r="BC39" i="14"/>
  <c r="BC22" i="14"/>
  <c r="BC18" i="14"/>
  <c r="BC40" i="14"/>
  <c r="BC32" i="14"/>
  <c r="BC35" i="14"/>
  <c r="BC42" i="14"/>
  <c r="BC24" i="14"/>
  <c r="BC38" i="14"/>
  <c r="BC34" i="14"/>
  <c r="BC28" i="14"/>
  <c r="AM23" i="14"/>
  <c r="AM19" i="14"/>
  <c r="AM11" i="14"/>
  <c r="AM3" i="14"/>
  <c r="AM12" i="14"/>
  <c r="AM31" i="14"/>
  <c r="AM7" i="14"/>
  <c r="AM41" i="14"/>
  <c r="AM37" i="14"/>
  <c r="AM17" i="14"/>
  <c r="AM13" i="14"/>
  <c r="AM20" i="14"/>
  <c r="AM8" i="14"/>
  <c r="AM4" i="14"/>
  <c r="AM35" i="14"/>
  <c r="AM25" i="14"/>
  <c r="AM5" i="14"/>
  <c r="AM36" i="14"/>
  <c r="AM16" i="14"/>
  <c r="AM39" i="14"/>
  <c r="AM30" i="14"/>
  <c r="AM26" i="14"/>
  <c r="AM10" i="14"/>
  <c r="AM21" i="14"/>
  <c r="AM29" i="14"/>
  <c r="AM43" i="14"/>
  <c r="AM22" i="14"/>
  <c r="AM14" i="14"/>
  <c r="AM40" i="14"/>
  <c r="AM9" i="14"/>
  <c r="AM33" i="14"/>
  <c r="AM27" i="14"/>
  <c r="AM15" i="14"/>
  <c r="AM18" i="14"/>
  <c r="AM6" i="14"/>
  <c r="AM32" i="14"/>
  <c r="AM42" i="14"/>
  <c r="AM2" i="14"/>
  <c r="AM24" i="14"/>
  <c r="AM38" i="14"/>
  <c r="AM34" i="14"/>
  <c r="AM28" i="14"/>
  <c r="W23" i="14"/>
  <c r="W19" i="14"/>
  <c r="W31" i="14"/>
  <c r="W11" i="14"/>
  <c r="W3" i="14"/>
  <c r="W7" i="14"/>
  <c r="W37" i="14"/>
  <c r="W25" i="14"/>
  <c r="W13" i="14"/>
  <c r="W21" i="14"/>
  <c r="W20" i="14"/>
  <c r="W16" i="14"/>
  <c r="W8" i="14"/>
  <c r="W4" i="14"/>
  <c r="W41" i="14"/>
  <c r="W29" i="14"/>
  <c r="W33" i="14"/>
  <c r="W12" i="14"/>
  <c r="W43" i="14"/>
  <c r="W30" i="14"/>
  <c r="W26" i="14"/>
  <c r="W10" i="14"/>
  <c r="W17" i="14"/>
  <c r="W9" i="14"/>
  <c r="W39" i="14"/>
  <c r="W18" i="14"/>
  <c r="W15" i="14"/>
  <c r="W5" i="14"/>
  <c r="W2" i="14"/>
  <c r="W35" i="14"/>
  <c r="W22" i="14"/>
  <c r="W6" i="14"/>
  <c r="W14" i="14"/>
  <c r="W36" i="14"/>
  <c r="W28" i="14"/>
  <c r="W27" i="14"/>
  <c r="W40" i="14"/>
  <c r="W38" i="14"/>
  <c r="W34" i="14"/>
  <c r="W32" i="14"/>
  <c r="W42" i="14"/>
  <c r="W24" i="14"/>
  <c r="AD23" i="14"/>
  <c r="AD11" i="14"/>
  <c r="AD7" i="14"/>
  <c r="AD3" i="14"/>
  <c r="AD19" i="14"/>
  <c r="AD15" i="14"/>
  <c r="AD29" i="14"/>
  <c r="AD33" i="14"/>
  <c r="AD21" i="14"/>
  <c r="AD36" i="14"/>
  <c r="AD28" i="14"/>
  <c r="AD20" i="14"/>
  <c r="AD16" i="14"/>
  <c r="AD8" i="14"/>
  <c r="AD4" i="14"/>
  <c r="AD6" i="14"/>
  <c r="AD26" i="14"/>
  <c r="AD43" i="14"/>
  <c r="AD35" i="14"/>
  <c r="AD10" i="14"/>
  <c r="AD14" i="14"/>
  <c r="AD41" i="14"/>
  <c r="AD37" i="14"/>
  <c r="AD17" i="14"/>
  <c r="AD13" i="14"/>
  <c r="AD5" i="14"/>
  <c r="AD31" i="14"/>
  <c r="AD2" i="14"/>
  <c r="AD9" i="14"/>
  <c r="AD12" i="14"/>
  <c r="AD39" i="14"/>
  <c r="AD34" i="14"/>
  <c r="AD18" i="14"/>
  <c r="AD42" i="14"/>
  <c r="AD30" i="14"/>
  <c r="AD24" i="14"/>
  <c r="AD27" i="14"/>
  <c r="AD38" i="14"/>
  <c r="AD22" i="14"/>
  <c r="AD40" i="14"/>
  <c r="AD25" i="14"/>
  <c r="AD32" i="14"/>
  <c r="AO3" i="14"/>
  <c r="AO18" i="14"/>
  <c r="AO14" i="14"/>
  <c r="AO6" i="14"/>
  <c r="AO15" i="14"/>
  <c r="AO4" i="14"/>
  <c r="AO34" i="14"/>
  <c r="AO10" i="14"/>
  <c r="AO2" i="14"/>
  <c r="AO8" i="14"/>
  <c r="AO29" i="14"/>
  <c r="AO17" i="14"/>
  <c r="AO13" i="14"/>
  <c r="AO33" i="14"/>
  <c r="AO36" i="14"/>
  <c r="AO12" i="14"/>
  <c r="AO35" i="14"/>
  <c r="AO23" i="14"/>
  <c r="AO42" i="14"/>
  <c r="AO38" i="14"/>
  <c r="AO37" i="14"/>
  <c r="AO5" i="14"/>
  <c r="AO24" i="14"/>
  <c r="AO22" i="14"/>
  <c r="AO39" i="14"/>
  <c r="AO27" i="14"/>
  <c r="AO19" i="14"/>
  <c r="AO21" i="14"/>
  <c r="AO9" i="14"/>
  <c r="AO25" i="14"/>
  <c r="AO31" i="14"/>
  <c r="AO41" i="14"/>
  <c r="AO32" i="14"/>
  <c r="AO28" i="14"/>
  <c r="AO43" i="14"/>
  <c r="AO20" i="14"/>
  <c r="AO16" i="14"/>
  <c r="AO30" i="14"/>
  <c r="AO26" i="14"/>
  <c r="AO40" i="14"/>
  <c r="AO11" i="14"/>
  <c r="AO7" i="14"/>
  <c r="AZ14" i="14"/>
  <c r="AZ10" i="14"/>
  <c r="AZ6" i="14"/>
  <c r="AZ20" i="14"/>
  <c r="AZ17" i="14"/>
  <c r="AZ13" i="14"/>
  <c r="AZ16" i="14"/>
  <c r="AZ18" i="14"/>
  <c r="AZ32" i="14"/>
  <c r="AZ28" i="14"/>
  <c r="AZ24" i="14"/>
  <c r="AZ2" i="14"/>
  <c r="AZ27" i="14"/>
  <c r="AZ15" i="14"/>
  <c r="AZ3" i="14"/>
  <c r="AZ7" i="14"/>
  <c r="AZ38" i="14"/>
  <c r="AZ34" i="14"/>
  <c r="AZ26" i="14"/>
  <c r="AZ5" i="14"/>
  <c r="AZ4" i="14"/>
  <c r="AZ39" i="14"/>
  <c r="AZ19" i="14"/>
  <c r="AZ23" i="14"/>
  <c r="AZ37" i="14"/>
  <c r="AZ29" i="14"/>
  <c r="AZ25" i="14"/>
  <c r="AZ8" i="14"/>
  <c r="AZ33" i="14"/>
  <c r="AZ21" i="14"/>
  <c r="AZ9" i="14"/>
  <c r="AZ22" i="14"/>
  <c r="AZ40" i="14"/>
  <c r="AZ35" i="14"/>
  <c r="AZ11" i="14"/>
  <c r="AZ42" i="14"/>
  <c r="AZ36" i="14"/>
  <c r="AZ43" i="14"/>
  <c r="AZ30" i="14"/>
  <c r="AZ41" i="14"/>
  <c r="AZ31" i="14"/>
  <c r="AZ12" i="14"/>
  <c r="T14" i="14"/>
  <c r="T10" i="14"/>
  <c r="T6" i="14"/>
  <c r="T4" i="14"/>
  <c r="T20" i="14"/>
  <c r="T16" i="14"/>
  <c r="T29" i="14"/>
  <c r="T17" i="14"/>
  <c r="T13" i="14"/>
  <c r="T33" i="14"/>
  <c r="T32" i="14"/>
  <c r="T28" i="14"/>
  <c r="T12" i="14"/>
  <c r="T2" i="14"/>
  <c r="T27" i="14"/>
  <c r="T15" i="14"/>
  <c r="T3" i="14"/>
  <c r="T7" i="14"/>
  <c r="T42" i="14"/>
  <c r="T34" i="14"/>
  <c r="T25" i="14"/>
  <c r="T5" i="14"/>
  <c r="T39" i="14"/>
  <c r="T19" i="14"/>
  <c r="T11" i="14"/>
  <c r="T18" i="14"/>
  <c r="T37" i="14"/>
  <c r="T21" i="14"/>
  <c r="T9" i="14"/>
  <c r="T36" i="14"/>
  <c r="T24" i="14"/>
  <c r="T41" i="14"/>
  <c r="T8" i="14"/>
  <c r="T40" i="14"/>
  <c r="T43" i="14"/>
  <c r="T35" i="14"/>
  <c r="T23" i="14"/>
  <c r="T30" i="14"/>
  <c r="T22" i="14"/>
  <c r="T31" i="14"/>
  <c r="T38" i="14"/>
  <c r="T26" i="14"/>
  <c r="AU14" i="14"/>
  <c r="AU23" i="14"/>
  <c r="AU19" i="14"/>
  <c r="AU15" i="14"/>
  <c r="AU35" i="14"/>
  <c r="AU7" i="14"/>
  <c r="AU3" i="14"/>
  <c r="AU27" i="14"/>
  <c r="AU2" i="14"/>
  <c r="AU40" i="14"/>
  <c r="AU32" i="14"/>
  <c r="AU28" i="14"/>
  <c r="AU24" i="14"/>
  <c r="AU39" i="14"/>
  <c r="AU31" i="14"/>
  <c r="AU42" i="14"/>
  <c r="AU38" i="14"/>
  <c r="AU34" i="14"/>
  <c r="AU5" i="14"/>
  <c r="AU21" i="14"/>
  <c r="AU36" i="14"/>
  <c r="AU22" i="14"/>
  <c r="AU18" i="14"/>
  <c r="AU6" i="14"/>
  <c r="AU37" i="14"/>
  <c r="AU29" i="14"/>
  <c r="AU33" i="14"/>
  <c r="AU13" i="14"/>
  <c r="AU30" i="14"/>
  <c r="AU11" i="14"/>
  <c r="AU25" i="14"/>
  <c r="AU9" i="14"/>
  <c r="AU41" i="14"/>
  <c r="AU16" i="14"/>
  <c r="AU12" i="14"/>
  <c r="AU26" i="14"/>
  <c r="AU8" i="14"/>
  <c r="AU17" i="14"/>
  <c r="AU4" i="14"/>
  <c r="AU10" i="14"/>
  <c r="AU20" i="14"/>
  <c r="AU43" i="14"/>
  <c r="Z15" i="14"/>
  <c r="Z43" i="14"/>
  <c r="Z26" i="14"/>
  <c r="Z11" i="14"/>
  <c r="Z7" i="14"/>
  <c r="Z3" i="14"/>
  <c r="Z9" i="14"/>
  <c r="Z12" i="14"/>
  <c r="Z39" i="14"/>
  <c r="Z31" i="14"/>
  <c r="Z10" i="14"/>
  <c r="Z41" i="14"/>
  <c r="Z37" i="14"/>
  <c r="Z29" i="14"/>
  <c r="Z17" i="14"/>
  <c r="Z33" i="14"/>
  <c r="Z36" i="14"/>
  <c r="Z20" i="14"/>
  <c r="Z16" i="14"/>
  <c r="Z8" i="14"/>
  <c r="Z4" i="14"/>
  <c r="Z30" i="14"/>
  <c r="Z21" i="14"/>
  <c r="Z25" i="14"/>
  <c r="Z5" i="14"/>
  <c r="Z40" i="14"/>
  <c r="Z32" i="14"/>
  <c r="Z28" i="14"/>
  <c r="Z27" i="14"/>
  <c r="Z6" i="14"/>
  <c r="Z38" i="14"/>
  <c r="Z22" i="14"/>
  <c r="Z13" i="14"/>
  <c r="Z2" i="14"/>
  <c r="Z34" i="14"/>
  <c r="Z23" i="14"/>
  <c r="Z42" i="14"/>
  <c r="Z14" i="14"/>
  <c r="Z19" i="14"/>
  <c r="Z18" i="14"/>
  <c r="Z24" i="14"/>
  <c r="Z35" i="14"/>
  <c r="AQ11" i="14"/>
  <c r="AQ7" i="14"/>
  <c r="AQ3" i="14"/>
  <c r="AQ13" i="14"/>
  <c r="AQ5" i="14"/>
  <c r="AQ33" i="14"/>
  <c r="AQ16" i="14"/>
  <c r="AQ31" i="14"/>
  <c r="AQ30" i="14"/>
  <c r="AQ26" i="14"/>
  <c r="AQ17" i="14"/>
  <c r="AQ2" i="14"/>
  <c r="AQ40" i="14"/>
  <c r="AQ36" i="14"/>
  <c r="AQ32" i="14"/>
  <c r="AQ28" i="14"/>
  <c r="AQ24" i="14"/>
  <c r="AQ12" i="14"/>
  <c r="AQ39" i="14"/>
  <c r="AQ35" i="14"/>
  <c r="AQ42" i="14"/>
  <c r="AQ38" i="14"/>
  <c r="AQ34" i="14"/>
  <c r="AQ41" i="14"/>
  <c r="AQ29" i="14"/>
  <c r="AQ20" i="14"/>
  <c r="AQ8" i="14"/>
  <c r="AQ18" i="14"/>
  <c r="AQ10" i="14"/>
  <c r="AQ21" i="14"/>
  <c r="AQ37" i="14"/>
  <c r="AQ25" i="14"/>
  <c r="AQ4" i="14"/>
  <c r="AQ14" i="14"/>
  <c r="AQ6" i="14"/>
  <c r="AQ43" i="14"/>
  <c r="AQ22" i="14"/>
  <c r="AQ19" i="14"/>
  <c r="AQ27" i="14"/>
  <c r="AQ15" i="14"/>
  <c r="AQ9" i="14"/>
  <c r="AQ23" i="14"/>
  <c r="AX7" i="14"/>
  <c r="AX3" i="14"/>
  <c r="AX11" i="14"/>
  <c r="AX5" i="14"/>
  <c r="AX32" i="14"/>
  <c r="AX28" i="14"/>
  <c r="AX35" i="14"/>
  <c r="AX26" i="14"/>
  <c r="AX17" i="14"/>
  <c r="AX9" i="14"/>
  <c r="AX2" i="14"/>
  <c r="AX40" i="14"/>
  <c r="AX24" i="14"/>
  <c r="AX27" i="14"/>
  <c r="AX6" i="14"/>
  <c r="AX19" i="14"/>
  <c r="AX42" i="14"/>
  <c r="AX38" i="14"/>
  <c r="AX41" i="14"/>
  <c r="AX37" i="14"/>
  <c r="AX25" i="14"/>
  <c r="AX13" i="14"/>
  <c r="AX36" i="14"/>
  <c r="AX20" i="14"/>
  <c r="AX16" i="14"/>
  <c r="AX8" i="14"/>
  <c r="AX39" i="14"/>
  <c r="AX15" i="14"/>
  <c r="AX29" i="14"/>
  <c r="AX21" i="14"/>
  <c r="AX4" i="14"/>
  <c r="AX18" i="14"/>
  <c r="AX14" i="14"/>
  <c r="AX30" i="14"/>
  <c r="AX31" i="14"/>
  <c r="AX23" i="14"/>
  <c r="AX10" i="14"/>
  <c r="AX33" i="14"/>
  <c r="AX12" i="14"/>
  <c r="AX34" i="14"/>
  <c r="AX22" i="14"/>
  <c r="AX43" i="14"/>
  <c r="AH11" i="14"/>
  <c r="AH7" i="14"/>
  <c r="AH3" i="14"/>
  <c r="AH39" i="14"/>
  <c r="AH41" i="14"/>
  <c r="AH37" i="14"/>
  <c r="AH17" i="14"/>
  <c r="AH24" i="14"/>
  <c r="AH35" i="14"/>
  <c r="AH23" i="14"/>
  <c r="AH21" i="14"/>
  <c r="AH2" i="14"/>
  <c r="AH40" i="14"/>
  <c r="AH30" i="14"/>
  <c r="AH27" i="14"/>
  <c r="AH6" i="14"/>
  <c r="AH42" i="14"/>
  <c r="AH38" i="14"/>
  <c r="AH15" i="14"/>
  <c r="AH25" i="14"/>
  <c r="AH13" i="14"/>
  <c r="AH5" i="14"/>
  <c r="AH33" i="14"/>
  <c r="AH9" i="14"/>
  <c r="AH4" i="14"/>
  <c r="AH26" i="14"/>
  <c r="AH29" i="14"/>
  <c r="AH36" i="14"/>
  <c r="AH20" i="14"/>
  <c r="AH16" i="14"/>
  <c r="AH8" i="14"/>
  <c r="AH43" i="14"/>
  <c r="AH19" i="14"/>
  <c r="AH22" i="14"/>
  <c r="AH34" i="14"/>
  <c r="AH18" i="14"/>
  <c r="AH14" i="14"/>
  <c r="AH28" i="14"/>
  <c r="AH31" i="14"/>
  <c r="AH12" i="14"/>
  <c r="AH32" i="14"/>
  <c r="AH10" i="14"/>
  <c r="R27" i="14"/>
  <c r="R11" i="14"/>
  <c r="R7" i="14"/>
  <c r="R3" i="14"/>
  <c r="R5" i="14"/>
  <c r="R21" i="14"/>
  <c r="R13" i="14"/>
  <c r="R17" i="14"/>
  <c r="R32" i="14"/>
  <c r="R28" i="14"/>
  <c r="R30" i="14"/>
  <c r="R43" i="14"/>
  <c r="R35" i="14"/>
  <c r="R25" i="14"/>
  <c r="R9" i="14"/>
  <c r="R2" i="14"/>
  <c r="R40" i="14"/>
  <c r="R6" i="14"/>
  <c r="R19" i="14"/>
  <c r="R42" i="14"/>
  <c r="R41" i="14"/>
  <c r="R37" i="14"/>
  <c r="R36" i="14"/>
  <c r="R24" i="14"/>
  <c r="R20" i="14"/>
  <c r="R16" i="14"/>
  <c r="R8" i="14"/>
  <c r="R38" i="14"/>
  <c r="R18" i="14"/>
  <c r="R14" i="14"/>
  <c r="R33" i="14"/>
  <c r="R4" i="14"/>
  <c r="R29" i="14"/>
  <c r="R26" i="14"/>
  <c r="R34" i="14"/>
  <c r="R15" i="14"/>
  <c r="R39" i="14"/>
  <c r="R31" i="14"/>
  <c r="R10" i="14"/>
  <c r="R23" i="14"/>
  <c r="R22" i="14"/>
  <c r="R12" i="14"/>
  <c r="AS3" i="14"/>
  <c r="AS14" i="14"/>
  <c r="AS4" i="14"/>
  <c r="AS10" i="14"/>
  <c r="AS2" i="14"/>
  <c r="AS8" i="14"/>
  <c r="AS11" i="14"/>
  <c r="AS6" i="14"/>
  <c r="AS5" i="14"/>
  <c r="AS39" i="14"/>
  <c r="AS27" i="14"/>
  <c r="AS19" i="14"/>
  <c r="AS21" i="14"/>
  <c r="AS9" i="14"/>
  <c r="AS28" i="14"/>
  <c r="AS20" i="14"/>
  <c r="AS38" i="14"/>
  <c r="AS30" i="14"/>
  <c r="AS26" i="14"/>
  <c r="AS7" i="14"/>
  <c r="AS18" i="14"/>
  <c r="AS41" i="14"/>
  <c r="AS25" i="14"/>
  <c r="AS32" i="14"/>
  <c r="AS29" i="14"/>
  <c r="AS13" i="14"/>
  <c r="AS16" i="14"/>
  <c r="AS35" i="14"/>
  <c r="AS17" i="14"/>
  <c r="AS33" i="14"/>
  <c r="AS40" i="14"/>
  <c r="AS36" i="14"/>
  <c r="AS23" i="14"/>
  <c r="AS24" i="14"/>
  <c r="AS12" i="14"/>
  <c r="AS42" i="14"/>
  <c r="AS34" i="14"/>
  <c r="AS22" i="14"/>
  <c r="AS31" i="14"/>
  <c r="AS15" i="14"/>
  <c r="AS43" i="14"/>
  <c r="AS37" i="14"/>
  <c r="AC7" i="14"/>
  <c r="AC3" i="14"/>
  <c r="AC4" i="14"/>
  <c r="AC32" i="14"/>
  <c r="AC10" i="14"/>
  <c r="AC2" i="14"/>
  <c r="AC14" i="14"/>
  <c r="AC12" i="14"/>
  <c r="AC8" i="14"/>
  <c r="AC6" i="14"/>
  <c r="AC37" i="14"/>
  <c r="AC5" i="14"/>
  <c r="AC13" i="14"/>
  <c r="AC16" i="14"/>
  <c r="AC39" i="14"/>
  <c r="AC27" i="14"/>
  <c r="AC19" i="14"/>
  <c r="AC34" i="14"/>
  <c r="AC26" i="14"/>
  <c r="AC21" i="14"/>
  <c r="AC9" i="14"/>
  <c r="AC40" i="14"/>
  <c r="AC24" i="14"/>
  <c r="AC22" i="14"/>
  <c r="AC41" i="14"/>
  <c r="AC25" i="14"/>
  <c r="AC36" i="14"/>
  <c r="AC20" i="14"/>
  <c r="AC23" i="14"/>
  <c r="AC30" i="14"/>
  <c r="AC29" i="14"/>
  <c r="AC35" i="14"/>
  <c r="AC42" i="14"/>
  <c r="AC18" i="14"/>
  <c r="AC28" i="14"/>
  <c r="AC31" i="14"/>
  <c r="AC11" i="14"/>
  <c r="AC17" i="14"/>
  <c r="AC33" i="14"/>
  <c r="AC15" i="14"/>
  <c r="AC38" i="14"/>
  <c r="AC43" i="14"/>
  <c r="BD31" i="14"/>
  <c r="BD14" i="14"/>
  <c r="BD22" i="14"/>
  <c r="BD10" i="14"/>
  <c r="BD6" i="14"/>
  <c r="BD40" i="14"/>
  <c r="BD23" i="14"/>
  <c r="BD18" i="14"/>
  <c r="BD5" i="14"/>
  <c r="BD24" i="14"/>
  <c r="BD8" i="14"/>
  <c r="BD39" i="14"/>
  <c r="BD19" i="14"/>
  <c r="BD42" i="14"/>
  <c r="BD38" i="14"/>
  <c r="BD37" i="14"/>
  <c r="BD2" i="14"/>
  <c r="BD21" i="14"/>
  <c r="BD9" i="14"/>
  <c r="BD36" i="14"/>
  <c r="BD12" i="14"/>
  <c r="BD35" i="14"/>
  <c r="BD7" i="14"/>
  <c r="BD41" i="14"/>
  <c r="BD25" i="14"/>
  <c r="BD17" i="14"/>
  <c r="BD33" i="14"/>
  <c r="BD32" i="14"/>
  <c r="BD28" i="14"/>
  <c r="BD16" i="14"/>
  <c r="BD3" i="14"/>
  <c r="BD29" i="14"/>
  <c r="BD15" i="14"/>
  <c r="BD34" i="14"/>
  <c r="BD26" i="14"/>
  <c r="BD43" i="14"/>
  <c r="BD20" i="14"/>
  <c r="BD4" i="14"/>
  <c r="BD11" i="14"/>
  <c r="BD30" i="14"/>
  <c r="BD27" i="14"/>
  <c r="BD13" i="14"/>
  <c r="AN31" i="14"/>
  <c r="AN22" i="14"/>
  <c r="AN10" i="14"/>
  <c r="AN6" i="14"/>
  <c r="AN18" i="14"/>
  <c r="AN14" i="14"/>
  <c r="AN5" i="14"/>
  <c r="AN2" i="14"/>
  <c r="AN20" i="14"/>
  <c r="AN12" i="14"/>
  <c r="AN4" i="14"/>
  <c r="AN39" i="14"/>
  <c r="AN19" i="14"/>
  <c r="AN37" i="14"/>
  <c r="AN29" i="14"/>
  <c r="AN25" i="14"/>
  <c r="AN33" i="14"/>
  <c r="AN21" i="14"/>
  <c r="AN9" i="14"/>
  <c r="AN16" i="14"/>
  <c r="AN3" i="14"/>
  <c r="AN7" i="14"/>
  <c r="AN41" i="14"/>
  <c r="AN13" i="14"/>
  <c r="AN15" i="14"/>
  <c r="AN34" i="14"/>
  <c r="AN27" i="14"/>
  <c r="AN35" i="14"/>
  <c r="AN17" i="14"/>
  <c r="AN40" i="14"/>
  <c r="AN32" i="14"/>
  <c r="AN28" i="14"/>
  <c r="AN24" i="14"/>
  <c r="AN38" i="14"/>
  <c r="AN43" i="14"/>
  <c r="AN23" i="14"/>
  <c r="AN42" i="14"/>
  <c r="AN26" i="14"/>
  <c r="AN8" i="14"/>
  <c r="AN11" i="14"/>
  <c r="AN36" i="14"/>
  <c r="AN30" i="14"/>
  <c r="X31" i="14"/>
  <c r="X22" i="14"/>
  <c r="X14" i="14"/>
  <c r="X10" i="14"/>
  <c r="X6" i="14"/>
  <c r="X18" i="14"/>
  <c r="X12" i="14"/>
  <c r="X25" i="14"/>
  <c r="X5" i="14"/>
  <c r="X8" i="14"/>
  <c r="X40" i="14"/>
  <c r="X39" i="14"/>
  <c r="X19" i="14"/>
  <c r="X42" i="14"/>
  <c r="X38" i="14"/>
  <c r="X37" i="14"/>
  <c r="X21" i="14"/>
  <c r="X9" i="14"/>
  <c r="X16" i="14"/>
  <c r="X3" i="14"/>
  <c r="X7" i="14"/>
  <c r="X26" i="14"/>
  <c r="X35" i="14"/>
  <c r="X41" i="14"/>
  <c r="X36" i="14"/>
  <c r="X32" i="14"/>
  <c r="X28" i="14"/>
  <c r="X13" i="14"/>
  <c r="X33" i="14"/>
  <c r="X17" i="14"/>
  <c r="X15" i="14"/>
  <c r="X34" i="14"/>
  <c r="X2" i="14"/>
  <c r="X4" i="14"/>
  <c r="X23" i="14"/>
  <c r="X30" i="14"/>
  <c r="X29" i="14"/>
  <c r="X24" i="14"/>
  <c r="X11" i="14"/>
  <c r="X27" i="14"/>
  <c r="X20" i="14"/>
  <c r="X43" i="14"/>
  <c r="AY15" i="14"/>
  <c r="AY14" i="14"/>
  <c r="AY7" i="14"/>
  <c r="AY3" i="14"/>
  <c r="AY33" i="14"/>
  <c r="AY17" i="14"/>
  <c r="AY5" i="14"/>
  <c r="AY36" i="14"/>
  <c r="AY35" i="14"/>
  <c r="AY11" i="14"/>
  <c r="AY22" i="14"/>
  <c r="AY41" i="14"/>
  <c r="AY37" i="14"/>
  <c r="AY29" i="14"/>
  <c r="AY20" i="14"/>
  <c r="AY8" i="14"/>
  <c r="AY4" i="14"/>
  <c r="AY27" i="14"/>
  <c r="AY39" i="14"/>
  <c r="AY13" i="14"/>
  <c r="AY21" i="14"/>
  <c r="AY9" i="14"/>
  <c r="AY40" i="14"/>
  <c r="AY24" i="14"/>
  <c r="AY12" i="14"/>
  <c r="AY43" i="14"/>
  <c r="AY38" i="14"/>
  <c r="AY34" i="14"/>
  <c r="AY19" i="14"/>
  <c r="AY25" i="14"/>
  <c r="AY2" i="14"/>
  <c r="AY32" i="14"/>
  <c r="AY28" i="14"/>
  <c r="AY31" i="14"/>
  <c r="AY42" i="14"/>
  <c r="AY10" i="14"/>
  <c r="AY16" i="14"/>
  <c r="AY30" i="14"/>
  <c r="AY6" i="14"/>
  <c r="AY26" i="14"/>
  <c r="AY23" i="14"/>
  <c r="AY18" i="14"/>
  <c r="AI39" i="14"/>
  <c r="AI15" i="14"/>
  <c r="AI14" i="14"/>
  <c r="AI11" i="14"/>
  <c r="AI3" i="14"/>
  <c r="AI7" i="14"/>
  <c r="AI21" i="14"/>
  <c r="AI43" i="14"/>
  <c r="AI22" i="14"/>
  <c r="AI37" i="14"/>
  <c r="AI13" i="14"/>
  <c r="AI33" i="14"/>
  <c r="AI20" i="14"/>
  <c r="AI8" i="14"/>
  <c r="AI4" i="14"/>
  <c r="AI31" i="14"/>
  <c r="AI19" i="14"/>
  <c r="AI29" i="14"/>
  <c r="AI25" i="14"/>
  <c r="AI17" i="14"/>
  <c r="AI9" i="14"/>
  <c r="AI2" i="14"/>
  <c r="AI32" i="14"/>
  <c r="AI28" i="14"/>
  <c r="AI42" i="14"/>
  <c r="AI6" i="14"/>
  <c r="AI41" i="14"/>
  <c r="AI5" i="14"/>
  <c r="AI40" i="14"/>
  <c r="AI24" i="14"/>
  <c r="AI16" i="14"/>
  <c r="AI12" i="14"/>
  <c r="AI27" i="14"/>
  <c r="AI38" i="14"/>
  <c r="AI34" i="14"/>
  <c r="AI18" i="14"/>
  <c r="AI23" i="14"/>
  <c r="AI10" i="14"/>
  <c r="AI36" i="14"/>
  <c r="AI30" i="14"/>
  <c r="AI35" i="14"/>
  <c r="AI26" i="14"/>
  <c r="S12" i="14"/>
  <c r="S7" i="14"/>
  <c r="S11" i="14"/>
  <c r="S3" i="14"/>
  <c r="S15" i="14"/>
  <c r="S14" i="14"/>
  <c r="S17" i="14"/>
  <c r="S13" i="14"/>
  <c r="S36" i="14"/>
  <c r="S35" i="14"/>
  <c r="S22" i="14"/>
  <c r="S41" i="14"/>
  <c r="S37" i="14"/>
  <c r="S25" i="14"/>
  <c r="S9" i="14"/>
  <c r="S20" i="14"/>
  <c r="S8" i="14"/>
  <c r="S4" i="14"/>
  <c r="S43" i="14"/>
  <c r="S27" i="14"/>
  <c r="S23" i="14"/>
  <c r="S21" i="14"/>
  <c r="S40" i="14"/>
  <c r="S24" i="14"/>
  <c r="S31" i="14"/>
  <c r="S34" i="14"/>
  <c r="S10" i="14"/>
  <c r="S5" i="14"/>
  <c r="S33" i="14"/>
  <c r="S29" i="14"/>
  <c r="S2" i="14"/>
  <c r="S32" i="14"/>
  <c r="S28" i="14"/>
  <c r="S42" i="14"/>
  <c r="S39" i="14"/>
  <c r="S26" i="14"/>
  <c r="S16" i="14"/>
  <c r="S30" i="14"/>
  <c r="S18" i="14"/>
  <c r="S6" i="14"/>
  <c r="S19" i="14"/>
</calcChain>
</file>

<file path=xl/sharedStrings.xml><?xml version="1.0" encoding="utf-8"?>
<sst xmlns="http://schemas.openxmlformats.org/spreadsheetml/2006/main" count="282" uniqueCount="156">
  <si>
    <t>MOQ</t>
  </si>
  <si>
    <t>Re-order Point</t>
  </si>
  <si>
    <t>Target Stock</t>
  </si>
  <si>
    <t>Available cash</t>
  </si>
  <si>
    <t>Proposed COS</t>
  </si>
  <si>
    <t>Product Data</t>
  </si>
  <si>
    <t>n-1</t>
  </si>
  <si>
    <t>n</t>
  </si>
  <si>
    <t>Proposed Stock Purchase</t>
  </si>
  <si>
    <t>Opening stock</t>
  </si>
  <si>
    <t>Stock Purchase</t>
  </si>
  <si>
    <t>Actual COS</t>
  </si>
  <si>
    <t>Actual Sales</t>
  </si>
  <si>
    <t>Reserves</t>
  </si>
  <si>
    <t>Weekly Cycle</t>
  </si>
  <si>
    <t>final sales</t>
  </si>
  <si>
    <t>time const</t>
  </si>
  <si>
    <t>initial sales</t>
  </si>
  <si>
    <t>opening stock[n-1]+ COS[n-1]-stock purchase[n-1]</t>
  </si>
  <si>
    <t xml:space="preserve">IF(higher priority(proposed purchase)
     +proposed purchase
     +available cash&gt;0, proposed purchase
)  </t>
  </si>
  <si>
    <t>reserves[n-1]</t>
  </si>
  <si>
    <t>Budget COS</t>
  </si>
  <si>
    <t>Actual COS/(1-GM%)</t>
  </si>
  <si>
    <t>Costs and provisions</t>
  </si>
  <si>
    <t>Actual Sales-
Actual COS-
Costs and provisions+
Reserves[n-1]</t>
  </si>
  <si>
    <t>target stock[n] = MAX(-budget COS[n-1],target stock)</t>
  </si>
  <si>
    <t>MAX(
    opening stock+
    stock purchase,
    Proposed COS
)</t>
  </si>
  <si>
    <t>Fixed costs
Provisions
Finance activities</t>
  </si>
  <si>
    <t>ROP (re-order ppoint)</t>
  </si>
  <si>
    <t>Heading</t>
  </si>
  <si>
    <t>Node</t>
  </si>
  <si>
    <t>Vector</t>
  </si>
  <si>
    <t>Error</t>
  </si>
  <si>
    <t>Budget COS + noise(puVar)</t>
  </si>
  <si>
    <t>exp(initial sales, 
         final sales, 
         time const
)</t>
  </si>
  <si>
    <t>Proposed stock error =
 -MOQ*ROUND(
           target stock[n]
           -(opening stock+budget COS[n-1])
       )/MOQ,0)</t>
  </si>
  <si>
    <t>Re-order Point-budget COS[n-1]</t>
  </si>
  <si>
    <t>Weeks stock on hand</t>
  </si>
  <si>
    <t>Sum(Opening stock[n-3…n]/COS[n-3…n])/4</t>
  </si>
  <si>
    <t>n-2</t>
  </si>
  <si>
    <t>n-3</t>
  </si>
  <si>
    <t>IF(
     Proposed stock error&lt;ROP OR Daily Item,
     Proposed stock error,0
)</t>
  </si>
  <si>
    <t>s.Name</t>
  </si>
  <si>
    <t>s.Top</t>
  </si>
  <si>
    <t>s.Left</t>
  </si>
  <si>
    <t>Name</t>
  </si>
  <si>
    <t>s.TopLeftCell.Top</t>
  </si>
  <si>
    <t>s.TopLeftCell.Left</t>
  </si>
  <si>
    <t>Head</t>
  </si>
  <si>
    <t>Tail</t>
  </si>
  <si>
    <t>Rectangle 1</t>
  </si>
  <si>
    <t>Proposed COS n</t>
  </si>
  <si>
    <t>Rectangle 2</t>
  </si>
  <si>
    <t>Rectangle 3</t>
  </si>
  <si>
    <t>Curved Connector 4</t>
  </si>
  <si>
    <t>Proposed COS n-1</t>
  </si>
  <si>
    <t>Proposed Stock Purchase n</t>
  </si>
  <si>
    <t>Rectangle 5</t>
  </si>
  <si>
    <t>Rectangle 6</t>
  </si>
  <si>
    <t>Curved Connector 7</t>
  </si>
  <si>
    <t>Opening stock n</t>
  </si>
  <si>
    <t>Rectangle 8</t>
  </si>
  <si>
    <t>Rectangle 9</t>
  </si>
  <si>
    <t>Rectangle 10</t>
  </si>
  <si>
    <t>Curved Connector 11</t>
  </si>
  <si>
    <t>Stock Purchase n-1</t>
  </si>
  <si>
    <t>Curved Connector 12</t>
  </si>
  <si>
    <t>Stock Purchase n</t>
  </si>
  <si>
    <t>Rectangle 13</t>
  </si>
  <si>
    <t>Rectangle 14</t>
  </si>
  <si>
    <t>Curved Connector 15</t>
  </si>
  <si>
    <t>Opening stock n-1</t>
  </si>
  <si>
    <t>Curved Connector 16</t>
  </si>
  <si>
    <t>Actual COS n-1</t>
  </si>
  <si>
    <t>Curved Connector 17</t>
  </si>
  <si>
    <t>Curved Connector 18</t>
  </si>
  <si>
    <t>Actual COS n</t>
  </si>
  <si>
    <t>Curved Connector 19</t>
  </si>
  <si>
    <t>Rectangle 20</t>
  </si>
  <si>
    <t>Curved Connector 21</t>
  </si>
  <si>
    <t>Actual Sales n</t>
  </si>
  <si>
    <t>Curved Connector 22</t>
  </si>
  <si>
    <t>Budget COS n-1</t>
  </si>
  <si>
    <t>Rectangle 23</t>
  </si>
  <si>
    <t>Rectangle 24</t>
  </si>
  <si>
    <t>Rectangle 26</t>
  </si>
  <si>
    <t>Rectangle 27</t>
  </si>
  <si>
    <t>Rectangle 28</t>
  </si>
  <si>
    <t>Curved Connector 29</t>
  </si>
  <si>
    <t>Product Data time const</t>
  </si>
  <si>
    <t>Budget COS n</t>
  </si>
  <si>
    <t>Curved Connector 30</t>
  </si>
  <si>
    <t>Product Data final sales</t>
  </si>
  <si>
    <t>Curved Connector 31</t>
  </si>
  <si>
    <t>Product Data initial sales</t>
  </si>
  <si>
    <t>Rectangle 32</t>
  </si>
  <si>
    <t>Curved Connector 33</t>
  </si>
  <si>
    <t>Curved Connector 34</t>
  </si>
  <si>
    <t>Curved Connector 35</t>
  </si>
  <si>
    <t>ROP (re-order ppoint) n</t>
  </si>
  <si>
    <t>Rectangle 36</t>
  </si>
  <si>
    <t>Curved Connector 37</t>
  </si>
  <si>
    <t>Rectangle 38</t>
  </si>
  <si>
    <t>Rectangle 39</t>
  </si>
  <si>
    <t>Curved Connector 40</t>
  </si>
  <si>
    <t>Reserves n</t>
  </si>
  <si>
    <t>Curved Connector 41</t>
  </si>
  <si>
    <t>Rectangle 42</t>
  </si>
  <si>
    <t>Curved Connector 43</t>
  </si>
  <si>
    <t>Reserves n-1</t>
  </si>
  <si>
    <t>Available cash n</t>
  </si>
  <si>
    <t>Curved Connector 44</t>
  </si>
  <si>
    <t>Curved Connector 45</t>
  </si>
  <si>
    <t>Curved Connector 46</t>
  </si>
  <si>
    <t>Curved Connector 47</t>
  </si>
  <si>
    <t>Costs and provisions n</t>
  </si>
  <si>
    <t>Curved Connector 48</t>
  </si>
  <si>
    <t>Rectangle 49</t>
  </si>
  <si>
    <t>Curved Connector 50</t>
  </si>
  <si>
    <t>Rectangle 52</t>
  </si>
  <si>
    <t>Rectangle 53</t>
  </si>
  <si>
    <t>Rectangle 54</t>
  </si>
  <si>
    <t>Rectangle 55</t>
  </si>
  <si>
    <t>Rectangle 56</t>
  </si>
  <si>
    <t>Rectangle 57</t>
  </si>
  <si>
    <t>Rectangle 58</t>
  </si>
  <si>
    <t>Rectangle 59</t>
  </si>
  <si>
    <t>Rectangle 61</t>
  </si>
  <si>
    <t>Rectangle 62</t>
  </si>
  <si>
    <t>Rectangle 63</t>
  </si>
  <si>
    <t>Rectangle 68</t>
  </si>
  <si>
    <t>Rectangle 79</t>
  </si>
  <si>
    <t>Rectangle 83</t>
  </si>
  <si>
    <t>Rectangle 84</t>
  </si>
  <si>
    <t>Rectangle 90</t>
  </si>
  <si>
    <t>Rectangle 91</t>
  </si>
  <si>
    <t>Rectangle 92</t>
  </si>
  <si>
    <t>Curved Connector 97</t>
  </si>
  <si>
    <t>Opening stock n-3</t>
  </si>
  <si>
    <t>Weeks stock on hand n</t>
  </si>
  <si>
    <t>Curved Connector 100</t>
  </si>
  <si>
    <t>Opening stock n-2</t>
  </si>
  <si>
    <t>Curved Connector 103</t>
  </si>
  <si>
    <t>Curved Connector 106</t>
  </si>
  <si>
    <t>Curved Connector 109</t>
  </si>
  <si>
    <t>Curved Connector 113</t>
  </si>
  <si>
    <t>Curved Connector 117</t>
  </si>
  <si>
    <t>Actual COS n-2</t>
  </si>
  <si>
    <t>Curved Connector 121</t>
  </si>
  <si>
    <t>Actual COS n-3</t>
  </si>
  <si>
    <t>Stock Data</t>
  </si>
  <si>
    <t>Stock Data Re-order Point</t>
  </si>
  <si>
    <t>Stock Data Target Stock</t>
  </si>
  <si>
    <t>Stock Data MOQ</t>
  </si>
  <si>
    <t>Rectangle 156</t>
  </si>
  <si>
    <t>Rectangle 157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</si>
</sst>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General;General;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0" tint="-0.34998626667073579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9" fontId="0" fillId="0" borderId="0" xfId="0" applyNumberFormat="1"/>
    <xf numFmtId="0" fontId="0" fillId="0" borderId="0" xfId="0" applyBorder="1" applyAlignment="1">
      <alignment vertical="top" wrapText="1"/>
    </xf>
    <xf numFmtId="0" fontId="0" fillId="0" borderId="0" xfId="0" applyAlignment="1">
      <alignment vertical="top" wrapText="1"/>
    </xf>
    <xf numFmtId="0" fontId="0" fillId="2" borderId="0" xfId="0" applyFill="1" applyBorder="1" applyAlignment="1">
      <alignment vertical="top" wrapText="1"/>
    </xf>
    <xf numFmtId="0" fontId="2" fillId="4" borderId="0" xfId="0" applyFont="1" applyFill="1" applyBorder="1" applyAlignment="1">
      <alignment vertical="top" wrapText="1"/>
    </xf>
    <xf numFmtId="0" fontId="1" fillId="3" borderId="0" xfId="0" applyFont="1" applyFill="1" applyBorder="1" applyAlignment="1">
      <alignment vertical="top" wrapText="1"/>
    </xf>
    <xf numFmtId="0" fontId="0" fillId="3" borderId="9" xfId="0" applyFill="1" applyBorder="1" applyAlignment="1">
      <alignment vertical="top" wrapText="1"/>
    </xf>
    <xf numFmtId="0" fontId="0" fillId="0" borderId="0" xfId="0" applyAlignment="1"/>
    <xf numFmtId="0" fontId="0" fillId="0" borderId="0" xfId="0" applyAlignment="1">
      <alignment textRotation="90"/>
    </xf>
    <xf numFmtId="0" fontId="0" fillId="0" borderId="0" xfId="0" applyAlignment="1">
      <alignment horizontal="center" vertical="center"/>
    </xf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64" fontId="0" fillId="0" borderId="0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0" fontId="0" fillId="3" borderId="0" xfId="0" applyFill="1" applyBorder="1" applyAlignment="1">
      <alignment vertical="top" wrapText="1"/>
    </xf>
  </cellXfs>
  <cellStyles count="1">
    <cellStyle name="Normal" xfId="0" builtinId="0"/>
  </cellStyles>
  <dxfs count="4"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4444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3.emf"/><Relationship Id="rId7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8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158" name="Rectangle 157"/>
        <xdr:cNvSpPr/>
      </xdr:nvSpPr>
      <xdr:spPr>
        <a:xfrm>
          <a:off x="2800350" y="304800"/>
          <a:ext cx="3409950" cy="190500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" textlink="">
      <xdr:nvSpPr>
        <xdr:cNvPr id="33" name="Rectangle 32"/>
        <xdr:cNvSpPr/>
      </xdr:nvSpPr>
      <xdr:spPr>
        <a:xfrm>
          <a:off x="2800350" y="495300"/>
          <a:ext cx="3409950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63" name="Rectangle 62"/>
        <xdr:cNvSpPr/>
      </xdr:nvSpPr>
      <xdr:spPr>
        <a:xfrm>
          <a:off x="2800350" y="685800"/>
          <a:ext cx="3409950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64" name="Rectangle 63"/>
        <xdr:cNvSpPr/>
      </xdr:nvSpPr>
      <xdr:spPr>
        <a:xfrm>
          <a:off x="2800350" y="876300"/>
          <a:ext cx="3409950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" textlink="">
      <xdr:nvSpPr>
        <xdr:cNvPr id="62" name="Rectangle 61"/>
        <xdr:cNvSpPr/>
      </xdr:nvSpPr>
      <xdr:spPr>
        <a:xfrm>
          <a:off x="2800350" y="1257300"/>
          <a:ext cx="340995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11</xdr:col>
      <xdr:colOff>0</xdr:colOff>
      <xdr:row>12</xdr:row>
      <xdr:rowOff>0</xdr:rowOff>
    </xdr:from>
    <xdr:to>
      <xdr:col>12</xdr:col>
      <xdr:colOff>0</xdr:colOff>
      <xdr:row>13</xdr:row>
      <xdr:rowOff>0</xdr:rowOff>
    </xdr:to>
    <xdr:sp macro="" textlink="">
      <xdr:nvSpPr>
        <xdr:cNvPr id="11" name="Rectangle 10"/>
        <xdr:cNvSpPr/>
      </xdr:nvSpPr>
      <xdr:spPr>
        <a:xfrm>
          <a:off x="10601325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solidFill>
            <a:schemeClr val="accent2"/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12</xdr:col>
      <xdr:colOff>0</xdr:colOff>
      <xdr:row>12</xdr:row>
      <xdr:rowOff>0</xdr:rowOff>
    </xdr:from>
    <xdr:to>
      <xdr:col>13</xdr:col>
      <xdr:colOff>0</xdr:colOff>
      <xdr:row>13</xdr:row>
      <xdr:rowOff>0</xdr:rowOff>
    </xdr:to>
    <xdr:sp macro="" textlink="">
      <xdr:nvSpPr>
        <xdr:cNvPr id="10" name="Rectangle 9"/>
        <xdr:cNvSpPr/>
      </xdr:nvSpPr>
      <xdr:spPr>
        <a:xfrm>
          <a:off x="10915650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solidFill>
            <a:schemeClr val="accent2"/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21</xdr:col>
      <xdr:colOff>0</xdr:colOff>
      <xdr:row>12</xdr:row>
      <xdr:rowOff>0</xdr:rowOff>
    </xdr:from>
    <xdr:to>
      <xdr:col>22</xdr:col>
      <xdr:colOff>0</xdr:colOff>
      <xdr:row>13</xdr:row>
      <xdr:rowOff>0</xdr:rowOff>
    </xdr:to>
    <xdr:sp macro="" textlink="">
      <xdr:nvSpPr>
        <xdr:cNvPr id="40" name="Rectangle 39"/>
        <xdr:cNvSpPr/>
      </xdr:nvSpPr>
      <xdr:spPr>
        <a:xfrm>
          <a:off x="15973425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</xdr:col>
      <xdr:colOff>0</xdr:colOff>
      <xdr:row>12</xdr:row>
      <xdr:rowOff>5012</xdr:rowOff>
    </xdr:from>
    <xdr:to>
      <xdr:col>3</xdr:col>
      <xdr:colOff>0</xdr:colOff>
      <xdr:row>12</xdr:row>
      <xdr:rowOff>195512</xdr:rowOff>
    </xdr:to>
    <xdr:sp macro="" textlink="">
      <xdr:nvSpPr>
        <xdr:cNvPr id="2" name="Rectangle 1"/>
        <xdr:cNvSpPr/>
      </xdr:nvSpPr>
      <xdr:spPr>
        <a:xfrm>
          <a:off x="2346158" y="2797341"/>
          <a:ext cx="315829" cy="190500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1</xdr:colOff>
      <xdr:row>12</xdr:row>
      <xdr:rowOff>5011</xdr:rowOff>
    </xdr:from>
    <xdr:to>
      <xdr:col>9</xdr:col>
      <xdr:colOff>1</xdr:colOff>
      <xdr:row>12</xdr:row>
      <xdr:rowOff>195511</xdr:rowOff>
    </xdr:to>
    <xdr:sp macro="" textlink="">
      <xdr:nvSpPr>
        <xdr:cNvPr id="3" name="Rectangle 2"/>
        <xdr:cNvSpPr/>
      </xdr:nvSpPr>
      <xdr:spPr>
        <a:xfrm>
          <a:off x="7163804" y="2797340"/>
          <a:ext cx="315829" cy="190500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solidFill>
            <a:schemeClr val="accent2"/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0</xdr:colOff>
      <xdr:row>13</xdr:row>
      <xdr:rowOff>0</xdr:rowOff>
    </xdr:to>
    <xdr:sp macro="" textlink="">
      <xdr:nvSpPr>
        <xdr:cNvPr id="4" name="Rectangle 3"/>
        <xdr:cNvSpPr/>
      </xdr:nvSpPr>
      <xdr:spPr>
        <a:xfrm>
          <a:off x="2028825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157914</xdr:colOff>
      <xdr:row>12</xdr:row>
      <xdr:rowOff>0</xdr:rowOff>
    </xdr:from>
    <xdr:to>
      <xdr:col>8</xdr:col>
      <xdr:colOff>157915</xdr:colOff>
      <xdr:row>12</xdr:row>
      <xdr:rowOff>5011</xdr:rowOff>
    </xdr:to>
    <xdr:cxnSp macro="">
      <xdr:nvCxnSpPr>
        <xdr:cNvPr id="5" name="Curved Connector 4"/>
        <xdr:cNvCxnSpPr>
          <a:stCxn id="4" idx="0"/>
          <a:endCxn id="3" idx="0"/>
        </xdr:cNvCxnSpPr>
      </xdr:nvCxnSpPr>
      <xdr:spPr>
        <a:xfrm rot="16200000" flipH="1">
          <a:off x="4752475" y="228097"/>
          <a:ext cx="5011" cy="5133475"/>
        </a:xfrm>
        <a:prstGeom prst="curvedConnector3">
          <a:avLst>
            <a:gd name="adj1" fmla="val -7888386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18</xdr:row>
      <xdr:rowOff>0</xdr:rowOff>
    </xdr:to>
    <xdr:sp macro="" textlink="">
      <xdr:nvSpPr>
        <xdr:cNvPr id="6" name="Rectangle 5"/>
        <xdr:cNvSpPr/>
      </xdr:nvSpPr>
      <xdr:spPr>
        <a:xfrm>
          <a:off x="7153275" y="532447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solidFill>
            <a:schemeClr val="accent2"/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7" name="Rectangle 6"/>
        <xdr:cNvSpPr/>
      </xdr:nvSpPr>
      <xdr:spPr>
        <a:xfrm>
          <a:off x="6210300" y="532447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157915</xdr:colOff>
      <xdr:row>12</xdr:row>
      <xdr:rowOff>195512</xdr:rowOff>
    </xdr:from>
    <xdr:to>
      <xdr:col>8</xdr:col>
      <xdr:colOff>157916</xdr:colOff>
      <xdr:row>17</xdr:row>
      <xdr:rowOff>1</xdr:rowOff>
    </xdr:to>
    <xdr:cxnSp macro="">
      <xdr:nvCxnSpPr>
        <xdr:cNvPr id="8" name="Curved Connector 7"/>
        <xdr:cNvCxnSpPr>
          <a:stCxn id="6" idx="0"/>
          <a:endCxn id="3" idx="2"/>
        </xdr:cNvCxnSpPr>
      </xdr:nvCxnSpPr>
      <xdr:spPr>
        <a:xfrm rot="5400000" flipH="1" flipV="1">
          <a:off x="6151145" y="4158414"/>
          <a:ext cx="2341147" cy="1"/>
        </a:xfrm>
        <a:prstGeom prst="curvedConnector3">
          <a:avLst/>
        </a:prstGeom>
        <a:ln w="38100" cap="flat" cmpd="sng" algn="ctr">
          <a:solidFill>
            <a:schemeClr val="accent1"/>
          </a:solidFill>
          <a:prstDash val="solid"/>
          <a:bevel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27</xdr:row>
      <xdr:rowOff>0</xdr:rowOff>
    </xdr:from>
    <xdr:to>
      <xdr:col>13</xdr:col>
      <xdr:colOff>0</xdr:colOff>
      <xdr:row>28</xdr:row>
      <xdr:rowOff>0</xdr:rowOff>
    </xdr:to>
    <xdr:sp macro="" textlink="">
      <xdr:nvSpPr>
        <xdr:cNvPr id="9" name="Rectangle 8"/>
        <xdr:cNvSpPr/>
      </xdr:nvSpPr>
      <xdr:spPr>
        <a:xfrm>
          <a:off x="10915650" y="802005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157163</xdr:colOff>
      <xdr:row>13</xdr:row>
      <xdr:rowOff>0</xdr:rowOff>
    </xdr:from>
    <xdr:to>
      <xdr:col>11</xdr:col>
      <xdr:colOff>157163</xdr:colOff>
      <xdr:row>18</xdr:row>
      <xdr:rowOff>0</xdr:rowOff>
    </xdr:to>
    <xdr:cxnSp macro="">
      <xdr:nvCxnSpPr>
        <xdr:cNvPr id="12" name="Curved Connector 11"/>
        <xdr:cNvCxnSpPr>
          <a:stCxn id="11" idx="2"/>
          <a:endCxn id="6" idx="2"/>
        </xdr:cNvCxnSpPr>
      </xdr:nvCxnSpPr>
      <xdr:spPr>
        <a:xfrm rot="5400000">
          <a:off x="7767638" y="2533650"/>
          <a:ext cx="2533650" cy="3448050"/>
        </a:xfrm>
        <a:prstGeom prst="curvedConnector3">
          <a:avLst>
            <a:gd name="adj1" fmla="val 139539"/>
          </a:avLst>
        </a:prstGeom>
        <a:ln w="38100" cap="flat" cmpd="sng" algn="ctr">
          <a:solidFill>
            <a:srgbClr val="C00000"/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157917</xdr:colOff>
      <xdr:row>12</xdr:row>
      <xdr:rowOff>0</xdr:rowOff>
    </xdr:from>
    <xdr:to>
      <xdr:col>12</xdr:col>
      <xdr:colOff>157916</xdr:colOff>
      <xdr:row>12</xdr:row>
      <xdr:rowOff>5011</xdr:rowOff>
    </xdr:to>
    <xdr:cxnSp macro="">
      <xdr:nvCxnSpPr>
        <xdr:cNvPr id="13" name="Curved Connector 12"/>
        <xdr:cNvCxnSpPr>
          <a:stCxn id="3" idx="0"/>
          <a:endCxn id="10" idx="0"/>
        </xdr:cNvCxnSpPr>
      </xdr:nvCxnSpPr>
      <xdr:spPr>
        <a:xfrm rot="5400000" flipH="1" flipV="1">
          <a:off x="9201654" y="912395"/>
          <a:ext cx="5011" cy="3764880"/>
        </a:xfrm>
        <a:prstGeom prst="curvedConnector3">
          <a:avLst>
            <a:gd name="adj1" fmla="val 10126821"/>
          </a:avLst>
        </a:prstGeom>
        <a:ln w="38100" cap="flat" cmpd="sng" algn="ctr">
          <a:solidFill>
            <a:schemeClr val="accent1"/>
          </a:solidFill>
          <a:prstDash val="solid"/>
          <a:miter lim="800000"/>
          <a:headEnd type="oval" w="med" len="med"/>
          <a:tailEnd type="triangle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20</xdr:row>
      <xdr:rowOff>0</xdr:rowOff>
    </xdr:from>
    <xdr:to>
      <xdr:col>18</xdr:col>
      <xdr:colOff>0</xdr:colOff>
      <xdr:row>21</xdr:row>
      <xdr:rowOff>0</xdr:rowOff>
    </xdr:to>
    <xdr:sp macro="" textlink="">
      <xdr:nvSpPr>
        <xdr:cNvPr id="14" name="Rectangle 13"/>
        <xdr:cNvSpPr/>
      </xdr:nvSpPr>
      <xdr:spPr>
        <a:xfrm>
          <a:off x="13601700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solidFill>
            <a:schemeClr val="accent2"/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0</xdr:colOff>
      <xdr:row>20</xdr:row>
      <xdr:rowOff>0</xdr:rowOff>
    </xdr:from>
    <xdr:to>
      <xdr:col>17</xdr:col>
      <xdr:colOff>0</xdr:colOff>
      <xdr:row>21</xdr:row>
      <xdr:rowOff>0</xdr:rowOff>
    </xdr:to>
    <xdr:sp macro="" textlink="">
      <xdr:nvSpPr>
        <xdr:cNvPr id="15" name="Rectangle 14"/>
        <xdr:cNvSpPr/>
      </xdr:nvSpPr>
      <xdr:spPr>
        <a:xfrm>
          <a:off x="13287375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</xdr:col>
      <xdr:colOff>163512</xdr:colOff>
      <xdr:row>16</xdr:row>
      <xdr:rowOff>184151</xdr:rowOff>
    </xdr:from>
    <xdr:to>
      <xdr:col>8</xdr:col>
      <xdr:colOff>163512</xdr:colOff>
      <xdr:row>17</xdr:row>
      <xdr:rowOff>6351</xdr:rowOff>
    </xdr:to>
    <xdr:cxnSp macro="">
      <xdr:nvCxnSpPr>
        <xdr:cNvPr id="16" name="Curved Connector 15"/>
        <xdr:cNvCxnSpPr>
          <a:stCxn id="93" idx="0"/>
          <a:endCxn id="6" idx="0"/>
        </xdr:cNvCxnSpPr>
      </xdr:nvCxnSpPr>
      <xdr:spPr>
        <a:xfrm rot="5400000" flipH="1" flipV="1">
          <a:off x="7153275" y="5167313"/>
          <a:ext cx="12700" cy="314325"/>
        </a:xfrm>
        <a:prstGeom prst="curvedConnector3">
          <a:avLst>
            <a:gd name="adj1" fmla="val 1800000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18</xdr:row>
      <xdr:rowOff>0</xdr:rowOff>
    </xdr:from>
    <xdr:to>
      <xdr:col>16</xdr:col>
      <xdr:colOff>157163</xdr:colOff>
      <xdr:row>20</xdr:row>
      <xdr:rowOff>0</xdr:rowOff>
    </xdr:to>
    <xdr:cxnSp macro="">
      <xdr:nvCxnSpPr>
        <xdr:cNvPr id="17" name="Curved Connector 16"/>
        <xdr:cNvCxnSpPr>
          <a:stCxn id="15" idx="0"/>
          <a:endCxn id="6" idx="2"/>
        </xdr:cNvCxnSpPr>
      </xdr:nvCxnSpPr>
      <xdr:spPr>
        <a:xfrm rot="16200000" flipV="1">
          <a:off x="10186988" y="2647950"/>
          <a:ext cx="381000" cy="6134100"/>
        </a:xfrm>
        <a:prstGeom prst="curvedConnector3">
          <a:avLst>
            <a:gd name="adj1" fmla="val 50000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13</xdr:row>
      <xdr:rowOff>1</xdr:rowOff>
    </xdr:from>
    <xdr:to>
      <xdr:col>12</xdr:col>
      <xdr:colOff>157163</xdr:colOff>
      <xdr:row>17</xdr:row>
      <xdr:rowOff>1</xdr:rowOff>
    </xdr:to>
    <xdr:cxnSp macro="">
      <xdr:nvCxnSpPr>
        <xdr:cNvPr id="18" name="Curved Connector 17"/>
        <xdr:cNvCxnSpPr>
          <a:stCxn id="6" idx="0"/>
          <a:endCxn id="10" idx="2"/>
        </xdr:cNvCxnSpPr>
      </xdr:nvCxnSpPr>
      <xdr:spPr>
        <a:xfrm rot="5400000" flipH="1" flipV="1">
          <a:off x="8024813" y="2276476"/>
          <a:ext cx="2333625" cy="3762375"/>
        </a:xfrm>
        <a:prstGeom prst="curvedConnector3">
          <a:avLst>
            <a:gd name="adj1" fmla="val 50000"/>
          </a:avLst>
        </a:prstGeom>
        <a:ln w="38100" cap="flat" cmpd="sng" algn="ctr">
          <a:solidFill>
            <a:schemeClr val="accent1"/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157915</xdr:colOff>
      <xdr:row>12</xdr:row>
      <xdr:rowOff>5012</xdr:rowOff>
    </xdr:from>
    <xdr:to>
      <xdr:col>17</xdr:col>
      <xdr:colOff>157915</xdr:colOff>
      <xdr:row>20</xdr:row>
      <xdr:rowOff>0</xdr:rowOff>
    </xdr:to>
    <xdr:cxnSp macro="">
      <xdr:nvCxnSpPr>
        <xdr:cNvPr id="19" name="Curved Connector 18"/>
        <xdr:cNvCxnSpPr>
          <a:stCxn id="2" idx="0"/>
          <a:endCxn id="14" idx="0"/>
        </xdr:cNvCxnSpPr>
      </xdr:nvCxnSpPr>
      <xdr:spPr>
        <a:xfrm rot="16200000" flipH="1">
          <a:off x="6584783" y="-1283369"/>
          <a:ext cx="3113172" cy="11274592"/>
        </a:xfrm>
        <a:prstGeom prst="curvedConnector3">
          <a:avLst>
            <a:gd name="adj1" fmla="val -3181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157162</xdr:colOff>
      <xdr:row>17</xdr:row>
      <xdr:rowOff>0</xdr:rowOff>
    </xdr:from>
    <xdr:to>
      <xdr:col>17</xdr:col>
      <xdr:colOff>157162</xdr:colOff>
      <xdr:row>20</xdr:row>
      <xdr:rowOff>0</xdr:rowOff>
    </xdr:to>
    <xdr:cxnSp macro="">
      <xdr:nvCxnSpPr>
        <xdr:cNvPr id="20" name="Curved Connector 19"/>
        <xdr:cNvCxnSpPr>
          <a:stCxn id="6" idx="0"/>
          <a:endCxn id="14" idx="0"/>
        </xdr:cNvCxnSpPr>
      </xdr:nvCxnSpPr>
      <xdr:spPr>
        <a:xfrm rot="16200000" flipH="1">
          <a:off x="10244137" y="2390775"/>
          <a:ext cx="581025" cy="6448425"/>
        </a:xfrm>
        <a:prstGeom prst="curvedConnector3">
          <a:avLst>
            <a:gd name="adj1" fmla="val -39344"/>
          </a:avLst>
        </a:prstGeom>
        <a:ln w="38100" cap="flat" cmpd="sng" algn="ctr">
          <a:solidFill>
            <a:schemeClr val="accent1"/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23</xdr:row>
      <xdr:rowOff>0</xdr:rowOff>
    </xdr:from>
    <xdr:to>
      <xdr:col>18</xdr:col>
      <xdr:colOff>0</xdr:colOff>
      <xdr:row>24</xdr:row>
      <xdr:rowOff>0</xdr:rowOff>
    </xdr:to>
    <xdr:sp macro="" textlink="">
      <xdr:nvSpPr>
        <xdr:cNvPr id="21" name="Rectangle 20"/>
        <xdr:cNvSpPr/>
      </xdr:nvSpPr>
      <xdr:spPr>
        <a:xfrm>
          <a:off x="13601700" y="72485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solidFill>
            <a:schemeClr val="accent2"/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17</xdr:col>
      <xdr:colOff>150813</xdr:colOff>
      <xdr:row>21</xdr:row>
      <xdr:rowOff>6350</xdr:rowOff>
    </xdr:from>
    <xdr:to>
      <xdr:col>17</xdr:col>
      <xdr:colOff>163513</xdr:colOff>
      <xdr:row>23</xdr:row>
      <xdr:rowOff>6350</xdr:rowOff>
    </xdr:to>
    <xdr:cxnSp macro="">
      <xdr:nvCxnSpPr>
        <xdr:cNvPr id="22" name="Curved Connector 21"/>
        <xdr:cNvCxnSpPr>
          <a:stCxn id="14" idx="2"/>
          <a:endCxn id="21" idx="0"/>
        </xdr:cNvCxnSpPr>
      </xdr:nvCxnSpPr>
      <xdr:spPr>
        <a:xfrm rot="5400000">
          <a:off x="13187363" y="6677025"/>
          <a:ext cx="1143000" cy="12700"/>
        </a:xfrm>
        <a:prstGeom prst="curvedConnector3">
          <a:avLst/>
        </a:prstGeom>
        <a:ln w="38100" cap="flat" cmpd="sng" algn="ctr">
          <a:solidFill>
            <a:schemeClr val="accent1"/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157915</xdr:colOff>
      <xdr:row>7</xdr:row>
      <xdr:rowOff>200525</xdr:rowOff>
    </xdr:from>
    <xdr:to>
      <xdr:col>8</xdr:col>
      <xdr:colOff>157916</xdr:colOff>
      <xdr:row>12</xdr:row>
      <xdr:rowOff>5010</xdr:rowOff>
    </xdr:to>
    <xdr:cxnSp macro="">
      <xdr:nvCxnSpPr>
        <xdr:cNvPr id="23" name="Curved Connector 22"/>
        <xdr:cNvCxnSpPr>
          <a:stCxn id="69" idx="2"/>
          <a:endCxn id="3" idx="0"/>
        </xdr:cNvCxnSpPr>
      </xdr:nvCxnSpPr>
      <xdr:spPr>
        <a:xfrm rot="16200000" flipH="1">
          <a:off x="4085726" y="-438654"/>
          <a:ext cx="1338511" cy="5133475"/>
        </a:xfrm>
        <a:prstGeom prst="curvedConnector3">
          <a:avLst>
            <a:gd name="adj1" fmla="val 76648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sp macro="" textlink="">
      <xdr:nvSpPr>
        <xdr:cNvPr id="24" name="Rectangle 23"/>
        <xdr:cNvSpPr/>
      </xdr:nvSpPr>
      <xdr:spPr>
        <a:xfrm>
          <a:off x="0" y="2790825"/>
          <a:ext cx="2028825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" textlink="">
      <xdr:nvSpPr>
        <xdr:cNvPr id="25" name="Rectangle 24"/>
        <xdr:cNvSpPr/>
      </xdr:nvSpPr>
      <xdr:spPr>
        <a:xfrm>
          <a:off x="2800350" y="2790825"/>
          <a:ext cx="3409950" cy="200025"/>
        </a:xfrm>
        <a:prstGeom prst="rect">
          <a:avLst/>
        </a:prstGeom>
        <a:noFill/>
        <a:ln w="25400" cap="flat" cmpd="sng" algn="ctr">
          <a:solidFill>
            <a:schemeClr val="bg1">
              <a:shade val="75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" textlink="">
      <xdr:nvSpPr>
        <xdr:cNvPr id="27" name="Rectangle 26"/>
        <xdr:cNvSpPr/>
      </xdr:nvSpPr>
      <xdr:spPr>
        <a:xfrm>
          <a:off x="0" y="685800"/>
          <a:ext cx="2028825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" textlink="">
      <xdr:nvSpPr>
        <xdr:cNvPr id="28" name="Rectangle 27"/>
        <xdr:cNvSpPr/>
      </xdr:nvSpPr>
      <xdr:spPr>
        <a:xfrm>
          <a:off x="0" y="876300"/>
          <a:ext cx="2028825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" textlink="">
      <xdr:nvSpPr>
        <xdr:cNvPr id="29" name="Rectangle 28"/>
        <xdr:cNvSpPr/>
      </xdr:nvSpPr>
      <xdr:spPr>
        <a:xfrm>
          <a:off x="0" y="495300"/>
          <a:ext cx="2028825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0</xdr:colOff>
      <xdr:row>5</xdr:row>
      <xdr:rowOff>95250</xdr:rowOff>
    </xdr:from>
    <xdr:to>
      <xdr:col>2</xdr:col>
      <xdr:colOff>157163</xdr:colOff>
      <xdr:row>7</xdr:row>
      <xdr:rowOff>0</xdr:rowOff>
    </xdr:to>
    <xdr:cxnSp macro="">
      <xdr:nvCxnSpPr>
        <xdr:cNvPr id="30" name="Curved Connector 29"/>
        <xdr:cNvCxnSpPr>
          <a:stCxn id="28" idx="3"/>
          <a:endCxn id="39" idx="0"/>
        </xdr:cNvCxnSpPr>
      </xdr:nvCxnSpPr>
      <xdr:spPr>
        <a:xfrm>
          <a:off x="2028825" y="971550"/>
          <a:ext cx="471488" cy="285750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4</xdr:row>
      <xdr:rowOff>95250</xdr:rowOff>
    </xdr:from>
    <xdr:to>
      <xdr:col>2</xdr:col>
      <xdr:colOff>157163</xdr:colOff>
      <xdr:row>7</xdr:row>
      <xdr:rowOff>0</xdr:rowOff>
    </xdr:to>
    <xdr:cxnSp macro="">
      <xdr:nvCxnSpPr>
        <xdr:cNvPr id="31" name="Curved Connector 30"/>
        <xdr:cNvCxnSpPr>
          <a:stCxn id="27" idx="3"/>
          <a:endCxn id="39" idx="0"/>
        </xdr:cNvCxnSpPr>
      </xdr:nvCxnSpPr>
      <xdr:spPr>
        <a:xfrm>
          <a:off x="2028825" y="781050"/>
          <a:ext cx="471488" cy="476250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3</xdr:row>
      <xdr:rowOff>95250</xdr:rowOff>
    </xdr:from>
    <xdr:to>
      <xdr:col>2</xdr:col>
      <xdr:colOff>157163</xdr:colOff>
      <xdr:row>7</xdr:row>
      <xdr:rowOff>0</xdr:rowOff>
    </xdr:to>
    <xdr:cxnSp macro="">
      <xdr:nvCxnSpPr>
        <xdr:cNvPr id="32" name="Curved Connector 31"/>
        <xdr:cNvCxnSpPr>
          <a:stCxn id="29" idx="3"/>
          <a:endCxn id="39" idx="0"/>
        </xdr:cNvCxnSpPr>
      </xdr:nvCxnSpPr>
      <xdr:spPr>
        <a:xfrm>
          <a:off x="2028825" y="590550"/>
          <a:ext cx="471488" cy="666750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</xdr:row>
      <xdr:rowOff>95250</xdr:rowOff>
    </xdr:from>
    <xdr:to>
      <xdr:col>8</xdr:col>
      <xdr:colOff>157916</xdr:colOff>
      <xdr:row>12</xdr:row>
      <xdr:rowOff>5011</xdr:rowOff>
    </xdr:to>
    <xdr:cxnSp macro="">
      <xdr:nvCxnSpPr>
        <xdr:cNvPr id="34" name="Curved Connector 33"/>
        <xdr:cNvCxnSpPr>
          <a:stCxn id="64" idx="3"/>
          <a:endCxn id="3" idx="0"/>
        </xdr:cNvCxnSpPr>
      </xdr:nvCxnSpPr>
      <xdr:spPr>
        <a:xfrm>
          <a:off x="6216316" y="972553"/>
          <a:ext cx="1105403" cy="1824787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</xdr:row>
      <xdr:rowOff>95250</xdr:rowOff>
    </xdr:from>
    <xdr:to>
      <xdr:col>8</xdr:col>
      <xdr:colOff>157916</xdr:colOff>
      <xdr:row>12</xdr:row>
      <xdr:rowOff>5011</xdr:rowOff>
    </xdr:to>
    <xdr:cxnSp macro="">
      <xdr:nvCxnSpPr>
        <xdr:cNvPr id="35" name="Curved Connector 34"/>
        <xdr:cNvCxnSpPr>
          <a:stCxn id="63" idx="3"/>
          <a:endCxn id="3" idx="0"/>
        </xdr:cNvCxnSpPr>
      </xdr:nvCxnSpPr>
      <xdr:spPr>
        <a:xfrm>
          <a:off x="6216316" y="782053"/>
          <a:ext cx="1105403" cy="2015287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</xdr:row>
      <xdr:rowOff>95250</xdr:rowOff>
    </xdr:from>
    <xdr:to>
      <xdr:col>8</xdr:col>
      <xdr:colOff>157163</xdr:colOff>
      <xdr:row>7</xdr:row>
      <xdr:rowOff>0</xdr:rowOff>
    </xdr:to>
    <xdr:cxnSp macro="">
      <xdr:nvCxnSpPr>
        <xdr:cNvPr id="36" name="Curved Connector 35"/>
        <xdr:cNvCxnSpPr>
          <a:stCxn id="33" idx="3"/>
          <a:endCxn id="50" idx="0"/>
        </xdr:cNvCxnSpPr>
      </xdr:nvCxnSpPr>
      <xdr:spPr>
        <a:xfrm>
          <a:off x="6210300" y="590550"/>
          <a:ext cx="1100138" cy="666750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20</xdr:row>
      <xdr:rowOff>0</xdr:rowOff>
    </xdr:from>
    <xdr:to>
      <xdr:col>22</xdr:col>
      <xdr:colOff>0</xdr:colOff>
      <xdr:row>21</xdr:row>
      <xdr:rowOff>0</xdr:rowOff>
    </xdr:to>
    <xdr:sp macro="" textlink="">
      <xdr:nvSpPr>
        <xdr:cNvPr id="37" name="Rectangle 36"/>
        <xdr:cNvSpPr/>
      </xdr:nvSpPr>
      <xdr:spPr>
        <a:xfrm>
          <a:off x="15973425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solidFill>
            <a:schemeClr val="accent2"/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</xdr:col>
      <xdr:colOff>151565</xdr:colOff>
      <xdr:row>8</xdr:row>
      <xdr:rowOff>6350</xdr:rowOff>
    </xdr:from>
    <xdr:to>
      <xdr:col>2</xdr:col>
      <xdr:colOff>164265</xdr:colOff>
      <xdr:row>12</xdr:row>
      <xdr:rowOff>11362</xdr:rowOff>
    </xdr:to>
    <xdr:cxnSp macro="">
      <xdr:nvCxnSpPr>
        <xdr:cNvPr id="38" name="Curved Connector 37"/>
        <xdr:cNvCxnSpPr>
          <a:stCxn id="39" idx="2"/>
          <a:endCxn id="2" idx="0"/>
        </xdr:cNvCxnSpPr>
      </xdr:nvCxnSpPr>
      <xdr:spPr>
        <a:xfrm rot="5400000">
          <a:off x="1834817" y="2128085"/>
          <a:ext cx="1338512" cy="12700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</xdr:row>
      <xdr:rowOff>0</xdr:rowOff>
    </xdr:from>
    <xdr:to>
      <xdr:col>3</xdr:col>
      <xdr:colOff>0</xdr:colOff>
      <xdr:row>8</xdr:row>
      <xdr:rowOff>0</xdr:rowOff>
    </xdr:to>
    <xdr:sp macro="" textlink="">
      <xdr:nvSpPr>
        <xdr:cNvPr id="39" name="Rectangle 38"/>
        <xdr:cNvSpPr/>
      </xdr:nvSpPr>
      <xdr:spPr>
        <a:xfrm>
          <a:off x="2343150" y="12573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17</xdr:col>
      <xdr:colOff>163512</xdr:colOff>
      <xdr:row>19</xdr:row>
      <xdr:rowOff>184151</xdr:rowOff>
    </xdr:from>
    <xdr:to>
      <xdr:col>21</xdr:col>
      <xdr:colOff>163512</xdr:colOff>
      <xdr:row>20</xdr:row>
      <xdr:rowOff>6351</xdr:rowOff>
    </xdr:to>
    <xdr:cxnSp macro="">
      <xdr:nvCxnSpPr>
        <xdr:cNvPr id="41" name="Curved Connector 40"/>
        <xdr:cNvCxnSpPr>
          <a:stCxn id="14" idx="0"/>
          <a:endCxn id="37" idx="0"/>
        </xdr:cNvCxnSpPr>
      </xdr:nvCxnSpPr>
      <xdr:spPr>
        <a:xfrm rot="5400000" flipH="1" flipV="1">
          <a:off x="14944725" y="4719638"/>
          <a:ext cx="12700" cy="2371725"/>
        </a:xfrm>
        <a:prstGeom prst="curvedConnector3">
          <a:avLst>
            <a:gd name="adj1" fmla="val 1800000"/>
          </a:avLst>
        </a:prstGeom>
        <a:ln w="38100" cap="flat" cmpd="sng" algn="ctr">
          <a:solidFill>
            <a:schemeClr val="accent1"/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157162</xdr:colOff>
      <xdr:row>21</xdr:row>
      <xdr:rowOff>0</xdr:rowOff>
    </xdr:from>
    <xdr:to>
      <xdr:col>21</xdr:col>
      <xdr:colOff>157162</xdr:colOff>
      <xdr:row>24</xdr:row>
      <xdr:rowOff>0</xdr:rowOff>
    </xdr:to>
    <xdr:cxnSp macro="">
      <xdr:nvCxnSpPr>
        <xdr:cNvPr id="42" name="Curved Connector 41"/>
        <xdr:cNvCxnSpPr>
          <a:stCxn id="21" idx="2"/>
          <a:endCxn id="37" idx="2"/>
        </xdr:cNvCxnSpPr>
      </xdr:nvCxnSpPr>
      <xdr:spPr>
        <a:xfrm rot="5400000" flipH="1" flipV="1">
          <a:off x="14273212" y="5591175"/>
          <a:ext cx="1343025" cy="2371725"/>
        </a:xfrm>
        <a:prstGeom prst="curvedConnector3">
          <a:avLst>
            <a:gd name="adj1" fmla="val -17021"/>
          </a:avLst>
        </a:prstGeom>
        <a:ln w="38100" cap="flat" cmpd="sng" algn="ctr">
          <a:solidFill>
            <a:schemeClr val="accent1"/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20</xdr:row>
      <xdr:rowOff>0</xdr:rowOff>
    </xdr:from>
    <xdr:to>
      <xdr:col>21</xdr:col>
      <xdr:colOff>0</xdr:colOff>
      <xdr:row>21</xdr:row>
      <xdr:rowOff>0</xdr:rowOff>
    </xdr:to>
    <xdr:sp macro="" textlink="">
      <xdr:nvSpPr>
        <xdr:cNvPr id="43" name="Rectangle 42"/>
        <xdr:cNvSpPr/>
      </xdr:nvSpPr>
      <xdr:spPr>
        <a:xfrm>
          <a:off x="15659100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12</xdr:col>
      <xdr:colOff>157163</xdr:colOff>
      <xdr:row>21</xdr:row>
      <xdr:rowOff>0</xdr:rowOff>
    </xdr:from>
    <xdr:to>
      <xdr:col>20</xdr:col>
      <xdr:colOff>157163</xdr:colOff>
      <xdr:row>28</xdr:row>
      <xdr:rowOff>0</xdr:rowOff>
    </xdr:to>
    <xdr:cxnSp macro="">
      <xdr:nvCxnSpPr>
        <xdr:cNvPr id="44" name="Curved Connector 43"/>
        <xdr:cNvCxnSpPr>
          <a:stCxn id="43" idx="2"/>
          <a:endCxn id="9" idx="2"/>
        </xdr:cNvCxnSpPr>
      </xdr:nvCxnSpPr>
      <xdr:spPr>
        <a:xfrm rot="5400000">
          <a:off x="12387263" y="4791075"/>
          <a:ext cx="2114550" cy="4743450"/>
        </a:xfrm>
        <a:prstGeom prst="curvedConnector3">
          <a:avLst>
            <a:gd name="adj1" fmla="val 110811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163512</xdr:colOff>
      <xdr:row>19</xdr:row>
      <xdr:rowOff>184151</xdr:rowOff>
    </xdr:from>
    <xdr:to>
      <xdr:col>21</xdr:col>
      <xdr:colOff>163512</xdr:colOff>
      <xdr:row>20</xdr:row>
      <xdr:rowOff>6351</xdr:rowOff>
    </xdr:to>
    <xdr:cxnSp macro="">
      <xdr:nvCxnSpPr>
        <xdr:cNvPr id="45" name="Curved Connector 44"/>
        <xdr:cNvCxnSpPr>
          <a:stCxn id="43" idx="0"/>
          <a:endCxn id="37" idx="0"/>
        </xdr:cNvCxnSpPr>
      </xdr:nvCxnSpPr>
      <xdr:spPr>
        <a:xfrm rot="5400000" flipH="1" flipV="1">
          <a:off x="15973425" y="5748338"/>
          <a:ext cx="12700" cy="314325"/>
        </a:xfrm>
        <a:prstGeom prst="curvedConnector3">
          <a:avLst>
            <a:gd name="adj1" fmla="val 1800000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157916</xdr:colOff>
      <xdr:row>7</xdr:row>
      <xdr:rowOff>200525</xdr:rowOff>
    </xdr:from>
    <xdr:to>
      <xdr:col>8</xdr:col>
      <xdr:colOff>157917</xdr:colOff>
      <xdr:row>12</xdr:row>
      <xdr:rowOff>5010</xdr:rowOff>
    </xdr:to>
    <xdr:cxnSp macro="">
      <xdr:nvCxnSpPr>
        <xdr:cNvPr id="46" name="Curved Connector 45"/>
        <xdr:cNvCxnSpPr>
          <a:stCxn id="39" idx="2"/>
          <a:endCxn id="3" idx="0"/>
        </xdr:cNvCxnSpPr>
      </xdr:nvCxnSpPr>
      <xdr:spPr>
        <a:xfrm rot="16200000" flipH="1">
          <a:off x="4243641" y="-280739"/>
          <a:ext cx="1338511" cy="4817646"/>
        </a:xfrm>
        <a:prstGeom prst="curvedConnector3">
          <a:avLst>
            <a:gd name="adj1" fmla="val 76648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157163</xdr:colOff>
      <xdr:row>13</xdr:row>
      <xdr:rowOff>0</xdr:rowOff>
    </xdr:from>
    <xdr:to>
      <xdr:col>17</xdr:col>
      <xdr:colOff>157163</xdr:colOff>
      <xdr:row>20</xdr:row>
      <xdr:rowOff>0</xdr:rowOff>
    </xdr:to>
    <xdr:cxnSp macro="">
      <xdr:nvCxnSpPr>
        <xdr:cNvPr id="47" name="Curved Connector 46"/>
        <xdr:cNvCxnSpPr>
          <a:stCxn id="10" idx="2"/>
          <a:endCxn id="14" idx="0"/>
        </xdr:cNvCxnSpPr>
      </xdr:nvCxnSpPr>
      <xdr:spPr>
        <a:xfrm rot="16200000" flipH="1">
          <a:off x="10958513" y="3105150"/>
          <a:ext cx="2914650" cy="2686050"/>
        </a:xfrm>
        <a:prstGeom prst="curvedConnector3">
          <a:avLst/>
        </a:prstGeom>
        <a:ln w="38100" cap="flat" cmpd="sng" algn="ctr">
          <a:solidFill>
            <a:schemeClr val="accent1"/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150813</xdr:colOff>
      <xdr:row>13</xdr:row>
      <xdr:rowOff>6350</xdr:rowOff>
    </xdr:from>
    <xdr:to>
      <xdr:col>21</xdr:col>
      <xdr:colOff>163513</xdr:colOff>
      <xdr:row>20</xdr:row>
      <xdr:rowOff>6350</xdr:rowOff>
    </xdr:to>
    <xdr:cxnSp macro="">
      <xdr:nvCxnSpPr>
        <xdr:cNvPr id="48" name="Curved Connector 47"/>
        <xdr:cNvCxnSpPr>
          <a:stCxn id="40" idx="2"/>
          <a:endCxn id="37" idx="0"/>
        </xdr:cNvCxnSpPr>
      </xdr:nvCxnSpPr>
      <xdr:spPr>
        <a:xfrm rot="5400000">
          <a:off x="14673263" y="4448175"/>
          <a:ext cx="2914650" cy="12700"/>
        </a:xfrm>
        <a:prstGeom prst="curvedConnector3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150813</xdr:colOff>
      <xdr:row>13</xdr:row>
      <xdr:rowOff>6350</xdr:rowOff>
    </xdr:from>
    <xdr:to>
      <xdr:col>12</xdr:col>
      <xdr:colOff>163513</xdr:colOff>
      <xdr:row>27</xdr:row>
      <xdr:rowOff>6350</xdr:rowOff>
    </xdr:to>
    <xdr:cxnSp macro="">
      <xdr:nvCxnSpPr>
        <xdr:cNvPr id="49" name="Curved Connector 48"/>
        <xdr:cNvCxnSpPr>
          <a:stCxn id="9" idx="0"/>
          <a:endCxn id="10" idx="2"/>
        </xdr:cNvCxnSpPr>
      </xdr:nvCxnSpPr>
      <xdr:spPr>
        <a:xfrm rot="5400000" flipH="1" flipV="1">
          <a:off x="8558213" y="5505450"/>
          <a:ext cx="5029200" cy="12700"/>
        </a:xfrm>
        <a:prstGeom prst="curvedConnector3">
          <a:avLst>
            <a:gd name="adj1" fmla="val 50000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0" name="Rectangle 49"/>
        <xdr:cNvSpPr/>
      </xdr:nvSpPr>
      <xdr:spPr>
        <a:xfrm>
          <a:off x="7153275" y="12573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157915</xdr:colOff>
      <xdr:row>7</xdr:row>
      <xdr:rowOff>200525</xdr:rowOff>
    </xdr:from>
    <xdr:to>
      <xdr:col>8</xdr:col>
      <xdr:colOff>157916</xdr:colOff>
      <xdr:row>12</xdr:row>
      <xdr:rowOff>5010</xdr:rowOff>
    </xdr:to>
    <xdr:cxnSp macro="">
      <xdr:nvCxnSpPr>
        <xdr:cNvPr id="51" name="Curved Connector 50"/>
        <xdr:cNvCxnSpPr>
          <a:stCxn id="50" idx="2"/>
          <a:endCxn id="3" idx="0"/>
        </xdr:cNvCxnSpPr>
      </xdr:nvCxnSpPr>
      <xdr:spPr>
        <a:xfrm rot="16200000" flipH="1">
          <a:off x="6652463" y="2128083"/>
          <a:ext cx="1338511" cy="1"/>
        </a:xfrm>
        <a:prstGeom prst="curvedConnector3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sp macro="" textlink="">
      <xdr:nvSpPr>
        <xdr:cNvPr id="53" name="Rectangle 52"/>
        <xdr:cNvSpPr/>
      </xdr:nvSpPr>
      <xdr:spPr>
        <a:xfrm>
          <a:off x="0" y="1257300"/>
          <a:ext cx="2028825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54" name="Rectangle 53"/>
        <xdr:cNvSpPr/>
      </xdr:nvSpPr>
      <xdr:spPr>
        <a:xfrm>
          <a:off x="2800350" y="5324475"/>
          <a:ext cx="3409950" cy="200025"/>
        </a:xfrm>
        <a:prstGeom prst="rect">
          <a:avLst/>
        </a:prstGeom>
        <a:noFill/>
        <a:ln w="25400" cap="flat" cmpd="sng" algn="ctr">
          <a:solidFill>
            <a:schemeClr val="bg1">
              <a:shade val="75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10</xdr:col>
      <xdr:colOff>0</xdr:colOff>
      <xdr:row>27</xdr:row>
      <xdr:rowOff>0</xdr:rowOff>
    </xdr:from>
    <xdr:to>
      <xdr:col>11</xdr:col>
      <xdr:colOff>0</xdr:colOff>
      <xdr:row>28</xdr:row>
      <xdr:rowOff>0</xdr:rowOff>
    </xdr:to>
    <xdr:sp macro="" textlink="">
      <xdr:nvSpPr>
        <xdr:cNvPr id="56" name="Rectangle 55"/>
        <xdr:cNvSpPr/>
      </xdr:nvSpPr>
      <xdr:spPr>
        <a:xfrm>
          <a:off x="7781925" y="8020050"/>
          <a:ext cx="281940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57" name="Rectangle 56"/>
        <xdr:cNvSpPr/>
      </xdr:nvSpPr>
      <xdr:spPr>
        <a:xfrm>
          <a:off x="11229975" y="5905500"/>
          <a:ext cx="1428750" cy="200025"/>
        </a:xfrm>
        <a:prstGeom prst="rect">
          <a:avLst/>
        </a:prstGeom>
        <a:noFill/>
        <a:ln w="25400" cap="flat" cmpd="sng" algn="ctr">
          <a:solidFill>
            <a:schemeClr val="bg1">
              <a:shade val="75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24</xdr:row>
      <xdr:rowOff>0</xdr:rowOff>
    </xdr:to>
    <xdr:sp macro="" textlink="">
      <xdr:nvSpPr>
        <xdr:cNvPr id="58" name="Rectangle 57"/>
        <xdr:cNvSpPr/>
      </xdr:nvSpPr>
      <xdr:spPr>
        <a:xfrm>
          <a:off x="11229975" y="7248525"/>
          <a:ext cx="1428750" cy="200025"/>
        </a:xfrm>
        <a:prstGeom prst="rect">
          <a:avLst/>
        </a:prstGeom>
        <a:noFill/>
        <a:ln w="25400" cap="flat" cmpd="sng" algn="ctr">
          <a:solidFill>
            <a:schemeClr val="bg1">
              <a:shade val="75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sp macro="" textlink="">
      <xdr:nvSpPr>
        <xdr:cNvPr id="59" name="Rectangle 58"/>
        <xdr:cNvSpPr/>
      </xdr:nvSpPr>
      <xdr:spPr>
        <a:xfrm>
          <a:off x="14201775" y="2790825"/>
          <a:ext cx="1457325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19</xdr:col>
      <xdr:colOff>0</xdr:colOff>
      <xdr:row>20</xdr:row>
      <xdr:rowOff>0</xdr:rowOff>
    </xdr:from>
    <xdr:to>
      <xdr:col>20</xdr:col>
      <xdr:colOff>0</xdr:colOff>
      <xdr:row>21</xdr:row>
      <xdr:rowOff>0</xdr:rowOff>
    </xdr:to>
    <xdr:sp macro="" textlink="">
      <xdr:nvSpPr>
        <xdr:cNvPr id="60" name="Rectangle 59"/>
        <xdr:cNvSpPr/>
      </xdr:nvSpPr>
      <xdr:spPr>
        <a:xfrm>
          <a:off x="14201775" y="5905500"/>
          <a:ext cx="1457325" cy="200025"/>
        </a:xfrm>
        <a:prstGeom prst="rect">
          <a:avLst/>
        </a:prstGeom>
        <a:noFill/>
        <a:ln w="25400" cap="flat" cmpd="sng" algn="ctr">
          <a:solidFill>
            <a:schemeClr val="bg1">
              <a:shade val="75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0</xdr:colOff>
      <xdr:row>8</xdr:row>
      <xdr:rowOff>0</xdr:rowOff>
    </xdr:to>
    <xdr:sp macro="" textlink="">
      <xdr:nvSpPr>
        <xdr:cNvPr id="69" name="Rectangle 68"/>
        <xdr:cNvSpPr/>
      </xdr:nvSpPr>
      <xdr:spPr>
        <a:xfrm>
          <a:off x="2028825" y="12573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" textlink="">
      <xdr:nvSpPr>
        <xdr:cNvPr id="80" name="Rectangle 79"/>
        <xdr:cNvSpPr/>
      </xdr:nvSpPr>
      <xdr:spPr>
        <a:xfrm>
          <a:off x="2800350" y="8020050"/>
          <a:ext cx="3409950" cy="200025"/>
        </a:xfrm>
        <a:prstGeom prst="rect">
          <a:avLst/>
        </a:prstGeom>
        <a:noFill/>
        <a:ln w="25400" cap="flat" cmpd="sng" algn="ctr">
          <a:solidFill>
            <a:schemeClr val="bg1">
              <a:shade val="75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0</xdr:colOff>
      <xdr:row>27</xdr:row>
      <xdr:rowOff>0</xdr:rowOff>
    </xdr:from>
    <xdr:to>
      <xdr:col>9</xdr:col>
      <xdr:colOff>0</xdr:colOff>
      <xdr:row>28</xdr:row>
      <xdr:rowOff>0</xdr:rowOff>
    </xdr:to>
    <xdr:sp macro="" textlink="">
      <xdr:nvSpPr>
        <xdr:cNvPr id="84" name="Rectangle 83"/>
        <xdr:cNvSpPr/>
      </xdr:nvSpPr>
      <xdr:spPr>
        <a:xfrm>
          <a:off x="7153275" y="802005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solidFill>
            <a:schemeClr val="accent2"/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6</xdr:col>
      <xdr:colOff>0</xdr:colOff>
      <xdr:row>17</xdr:row>
      <xdr:rowOff>0</xdr:rowOff>
    </xdr:from>
    <xdr:to>
      <xdr:col>7</xdr:col>
      <xdr:colOff>0</xdr:colOff>
      <xdr:row>18</xdr:row>
      <xdr:rowOff>0</xdr:rowOff>
    </xdr:to>
    <xdr:sp macro="" textlink="">
      <xdr:nvSpPr>
        <xdr:cNvPr id="85" name="Rectangle 84"/>
        <xdr:cNvSpPr/>
      </xdr:nvSpPr>
      <xdr:spPr>
        <a:xfrm>
          <a:off x="6524625" y="532447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15</xdr:col>
      <xdr:colOff>0</xdr:colOff>
      <xdr:row>20</xdr:row>
      <xdr:rowOff>0</xdr:rowOff>
    </xdr:from>
    <xdr:to>
      <xdr:col>16</xdr:col>
      <xdr:colOff>0</xdr:colOff>
      <xdr:row>21</xdr:row>
      <xdr:rowOff>0</xdr:rowOff>
    </xdr:to>
    <xdr:sp macro="" textlink="">
      <xdr:nvSpPr>
        <xdr:cNvPr id="91" name="Rectangle 90"/>
        <xdr:cNvSpPr/>
      </xdr:nvSpPr>
      <xdr:spPr>
        <a:xfrm>
          <a:off x="12973050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0</xdr:colOff>
      <xdr:row>20</xdr:row>
      <xdr:rowOff>0</xdr:rowOff>
    </xdr:from>
    <xdr:to>
      <xdr:col>15</xdr:col>
      <xdr:colOff>0</xdr:colOff>
      <xdr:row>21</xdr:row>
      <xdr:rowOff>0</xdr:rowOff>
    </xdr:to>
    <xdr:sp macro="" textlink="">
      <xdr:nvSpPr>
        <xdr:cNvPr id="92" name="Rectangle 91"/>
        <xdr:cNvSpPr/>
      </xdr:nvSpPr>
      <xdr:spPr>
        <a:xfrm>
          <a:off x="12658725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93" name="Rectangle 92"/>
        <xdr:cNvSpPr/>
      </xdr:nvSpPr>
      <xdr:spPr>
        <a:xfrm>
          <a:off x="6838950" y="532447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</xdr:col>
      <xdr:colOff>157162</xdr:colOff>
      <xdr:row>18</xdr:row>
      <xdr:rowOff>0</xdr:rowOff>
    </xdr:from>
    <xdr:to>
      <xdr:col>8</xdr:col>
      <xdr:colOff>157162</xdr:colOff>
      <xdr:row>27</xdr:row>
      <xdr:rowOff>0</xdr:rowOff>
    </xdr:to>
    <xdr:cxnSp macro="">
      <xdr:nvCxnSpPr>
        <xdr:cNvPr id="98" name="Curved Connector 97"/>
        <xdr:cNvCxnSpPr>
          <a:stCxn id="7" idx="2"/>
          <a:endCxn id="84" idx="0"/>
        </xdr:cNvCxnSpPr>
      </xdr:nvCxnSpPr>
      <xdr:spPr>
        <a:xfrm rot="16200000" flipH="1">
          <a:off x="5591175" y="6300787"/>
          <a:ext cx="2495550" cy="942975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157163</xdr:colOff>
      <xdr:row>18</xdr:row>
      <xdr:rowOff>0</xdr:rowOff>
    </xdr:from>
    <xdr:to>
      <xdr:col>8</xdr:col>
      <xdr:colOff>157163</xdr:colOff>
      <xdr:row>27</xdr:row>
      <xdr:rowOff>0</xdr:rowOff>
    </xdr:to>
    <xdr:cxnSp macro="">
      <xdr:nvCxnSpPr>
        <xdr:cNvPr id="101" name="Curved Connector 100"/>
        <xdr:cNvCxnSpPr>
          <a:stCxn id="85" idx="2"/>
          <a:endCxn id="84" idx="0"/>
        </xdr:cNvCxnSpPr>
      </xdr:nvCxnSpPr>
      <xdr:spPr>
        <a:xfrm rot="16200000" flipH="1">
          <a:off x="5748338" y="6457950"/>
          <a:ext cx="2495550" cy="628650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157162</xdr:colOff>
      <xdr:row>18</xdr:row>
      <xdr:rowOff>0</xdr:rowOff>
    </xdr:from>
    <xdr:to>
      <xdr:col>8</xdr:col>
      <xdr:colOff>157162</xdr:colOff>
      <xdr:row>27</xdr:row>
      <xdr:rowOff>0</xdr:rowOff>
    </xdr:to>
    <xdr:cxnSp macro="">
      <xdr:nvCxnSpPr>
        <xdr:cNvPr id="104" name="Curved Connector 103"/>
        <xdr:cNvCxnSpPr>
          <a:stCxn id="93" idx="2"/>
          <a:endCxn id="84" idx="0"/>
        </xdr:cNvCxnSpPr>
      </xdr:nvCxnSpPr>
      <xdr:spPr>
        <a:xfrm rot="16200000" flipH="1">
          <a:off x="5905500" y="6615112"/>
          <a:ext cx="2495550" cy="314325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150813</xdr:colOff>
      <xdr:row>18</xdr:row>
      <xdr:rowOff>6350</xdr:rowOff>
    </xdr:from>
    <xdr:to>
      <xdr:col>8</xdr:col>
      <xdr:colOff>163513</xdr:colOff>
      <xdr:row>27</xdr:row>
      <xdr:rowOff>6350</xdr:rowOff>
    </xdr:to>
    <xdr:cxnSp macro="">
      <xdr:nvCxnSpPr>
        <xdr:cNvPr id="107" name="Curved Connector 106"/>
        <xdr:cNvCxnSpPr>
          <a:stCxn id="6" idx="2"/>
          <a:endCxn id="84" idx="0"/>
        </xdr:cNvCxnSpPr>
      </xdr:nvCxnSpPr>
      <xdr:spPr>
        <a:xfrm rot="5400000">
          <a:off x="6062663" y="6772275"/>
          <a:ext cx="2495550" cy="12700"/>
        </a:xfrm>
        <a:prstGeom prst="curvedConnector3">
          <a:avLst>
            <a:gd name="adj1" fmla="val 50000"/>
          </a:avLst>
        </a:prstGeom>
        <a:ln w="38100" cap="flat" cmpd="sng" algn="ctr">
          <a:solidFill>
            <a:schemeClr val="accent1"/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21</xdr:row>
      <xdr:rowOff>1</xdr:rowOff>
    </xdr:from>
    <xdr:to>
      <xdr:col>17</xdr:col>
      <xdr:colOff>157163</xdr:colOff>
      <xdr:row>28</xdr:row>
      <xdr:rowOff>1</xdr:rowOff>
    </xdr:to>
    <xdr:cxnSp macro="">
      <xdr:nvCxnSpPr>
        <xdr:cNvPr id="110" name="Curved Connector 109"/>
        <xdr:cNvCxnSpPr>
          <a:stCxn id="14" idx="2"/>
          <a:endCxn id="84" idx="2"/>
        </xdr:cNvCxnSpPr>
      </xdr:nvCxnSpPr>
      <xdr:spPr>
        <a:xfrm rot="5400000">
          <a:off x="9477376" y="3938588"/>
          <a:ext cx="2114550" cy="6448425"/>
        </a:xfrm>
        <a:prstGeom prst="curvedConnector3">
          <a:avLst>
            <a:gd name="adj1" fmla="val 139463"/>
          </a:avLst>
        </a:prstGeom>
        <a:ln w="38100" cap="flat" cmpd="sng" algn="ctr">
          <a:solidFill>
            <a:schemeClr val="accent1"/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21</xdr:row>
      <xdr:rowOff>0</xdr:rowOff>
    </xdr:from>
    <xdr:to>
      <xdr:col>16</xdr:col>
      <xdr:colOff>157163</xdr:colOff>
      <xdr:row>28</xdr:row>
      <xdr:rowOff>0</xdr:rowOff>
    </xdr:to>
    <xdr:cxnSp macro="">
      <xdr:nvCxnSpPr>
        <xdr:cNvPr id="114" name="Curved Connector 113"/>
        <xdr:cNvCxnSpPr>
          <a:stCxn id="15" idx="2"/>
          <a:endCxn id="84" idx="2"/>
        </xdr:cNvCxnSpPr>
      </xdr:nvCxnSpPr>
      <xdr:spPr>
        <a:xfrm rot="5400000">
          <a:off x="9320213" y="4095750"/>
          <a:ext cx="2114550" cy="6134100"/>
        </a:xfrm>
        <a:prstGeom prst="curvedConnector3">
          <a:avLst>
            <a:gd name="adj1" fmla="val 139463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21</xdr:row>
      <xdr:rowOff>1</xdr:rowOff>
    </xdr:from>
    <xdr:to>
      <xdr:col>15</xdr:col>
      <xdr:colOff>157163</xdr:colOff>
      <xdr:row>28</xdr:row>
      <xdr:rowOff>1</xdr:rowOff>
    </xdr:to>
    <xdr:cxnSp macro="">
      <xdr:nvCxnSpPr>
        <xdr:cNvPr id="118" name="Curved Connector 117"/>
        <xdr:cNvCxnSpPr>
          <a:stCxn id="91" idx="2"/>
          <a:endCxn id="84" idx="2"/>
        </xdr:cNvCxnSpPr>
      </xdr:nvCxnSpPr>
      <xdr:spPr>
        <a:xfrm rot="5400000">
          <a:off x="9163051" y="4252913"/>
          <a:ext cx="2114550" cy="5819775"/>
        </a:xfrm>
        <a:prstGeom prst="curvedConnector3">
          <a:avLst>
            <a:gd name="adj1" fmla="val 138339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21</xdr:row>
      <xdr:rowOff>0</xdr:rowOff>
    </xdr:from>
    <xdr:to>
      <xdr:col>14</xdr:col>
      <xdr:colOff>157163</xdr:colOff>
      <xdr:row>28</xdr:row>
      <xdr:rowOff>0</xdr:rowOff>
    </xdr:to>
    <xdr:cxnSp macro="">
      <xdr:nvCxnSpPr>
        <xdr:cNvPr id="122" name="Curved Connector 121"/>
        <xdr:cNvCxnSpPr>
          <a:stCxn id="92" idx="2"/>
          <a:endCxn id="84" idx="2"/>
        </xdr:cNvCxnSpPr>
      </xdr:nvCxnSpPr>
      <xdr:spPr>
        <a:xfrm rot="5400000">
          <a:off x="9005888" y="4410075"/>
          <a:ext cx="2114550" cy="5505450"/>
        </a:xfrm>
        <a:prstGeom prst="curvedConnector3">
          <a:avLst>
            <a:gd name="adj1" fmla="val 138339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sp macro="" textlink="">
      <xdr:nvSpPr>
        <xdr:cNvPr id="157" name="Rectangle 156"/>
        <xdr:cNvSpPr/>
      </xdr:nvSpPr>
      <xdr:spPr>
        <a:xfrm>
          <a:off x="0" y="304800"/>
          <a:ext cx="2028825" cy="190500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11</xdr:col>
      <xdr:colOff>0</xdr:colOff>
      <xdr:row>13</xdr:row>
      <xdr:rowOff>0</xdr:rowOff>
    </xdr:to>
    <xdr:sp macro="" textlink="">
      <xdr:nvSpPr>
        <xdr:cNvPr id="55" name="Rectangle 54"/>
        <xdr:cNvSpPr/>
      </xdr:nvSpPr>
      <xdr:spPr>
        <a:xfrm>
          <a:off x="7781925" y="2790825"/>
          <a:ext cx="2819400" cy="200025"/>
        </a:xfrm>
        <a:prstGeom prst="rect">
          <a:avLst/>
        </a:prstGeom>
        <a:noFill/>
        <a:ln w="25400" cap="flat" cmpd="sng" algn="ctr">
          <a:solidFill>
            <a:schemeClr val="bg1">
              <a:shade val="75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109" name="wVWwIUmqRt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1110" name="3uZi7zG5cB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111" name="C7thpNeAx4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1112" name="Bsl7mZaQQe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13" name="fl4wZzh3R9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14" name="oYg+79hOHX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1115" name="JomONTdEpO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12</xdr:row>
          <xdr:rowOff>0</xdr:rowOff>
        </xdr:from>
        <xdr:to>
          <xdr:col>22</xdr:col>
          <xdr:colOff>0</xdr:colOff>
          <xdr:row>13</xdr:row>
          <xdr:rowOff>0</xdr:rowOff>
        </xdr:to>
        <xdr:sp macro="" textlink="">
          <xdr:nvSpPr>
            <xdr:cNvPr id="1116" name="r0/1VlkAKs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1117" name="nWNAZ19HwP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118" name="b10HgL8BWg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1119" name="nQ6Jnk1MZ3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1120" name="ZPZp6MKkqs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1121" name="IDKZP39s5U" hidden="1">
              <a:extLst>
                <a:ext uri="{63B3BB69-23CF-44E3-9099-C40C66FF867C}">
                  <a14:compatExt spid="_x0000_s1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1122" name="HMBzYHYQ7o" hidden="1">
              <a:extLst>
                <a:ext uri="{63B3BB69-23CF-44E3-9099-C40C66FF867C}">
                  <a14:compatExt spid="_x0000_s1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20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1123" name="H/k9SGc4Nr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1124" name="zm7LI5UpF5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1125" name="ck8L0CTT0/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1126" name="5elVwgOmK6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27" name="LVj1AUT9EN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128" name="dZSBjhnmaJ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129" name="/1Uai0Tmm0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1130" name="hov3Xwjssk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20</xdr:row>
          <xdr:rowOff>0</xdr:rowOff>
        </xdr:from>
        <xdr:to>
          <xdr:col>22</xdr:col>
          <xdr:colOff>0</xdr:colOff>
          <xdr:row>21</xdr:row>
          <xdr:rowOff>0</xdr:rowOff>
        </xdr:to>
        <xdr:sp macro="" textlink="">
          <xdr:nvSpPr>
            <xdr:cNvPr id="1131" name="maXZ1dKYiQ" hidden="1">
              <a:extLst>
                <a:ext uri="{63B3BB69-23CF-44E3-9099-C40C66FF867C}">
                  <a14:compatExt spid="_x0000_s1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132" name="Gb9AdivjZX" hidden="1">
              <a:extLst>
                <a:ext uri="{63B3BB69-23CF-44E3-9099-C40C66FF867C}">
                  <a14:compatExt spid="_x0000_s1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20</xdr:row>
          <xdr:rowOff>0</xdr:rowOff>
        </xdr:from>
        <xdr:to>
          <xdr:col>21</xdr:col>
          <xdr:colOff>0</xdr:colOff>
          <xdr:row>21</xdr:row>
          <xdr:rowOff>0</xdr:rowOff>
        </xdr:to>
        <xdr:sp macro="" textlink="">
          <xdr:nvSpPr>
            <xdr:cNvPr id="1133" name="G2Vk4Q1RyE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1134" name="XfdiDp74c5" hidden="1">
              <a:extLst>
                <a:ext uri="{63B3BB69-23CF-44E3-9099-C40C66FF867C}">
                  <a14:compatExt spid="_x0000_s1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135" name="v1tbOjyZNZ" hidden="1">
              <a:extLst>
                <a:ext uri="{63B3BB69-23CF-44E3-9099-C40C66FF867C}">
                  <a14:compatExt spid="_x0000_s1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6" name="H+YEr9v8cL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1137" name="c5Q257+yCc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1138" name="c4fdVMDMYv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0</xdr:rowOff>
        </xdr:to>
        <xdr:sp macro="" textlink="">
          <xdr:nvSpPr>
            <xdr:cNvPr id="1139" name="3M7PvuFREs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12</xdr:row>
          <xdr:rowOff>0</xdr:rowOff>
        </xdr:from>
        <xdr:to>
          <xdr:col>20</xdr:col>
          <xdr:colOff>0</xdr:colOff>
          <xdr:row>13</xdr:row>
          <xdr:rowOff>0</xdr:rowOff>
        </xdr:to>
        <xdr:sp macro="" textlink="">
          <xdr:nvSpPr>
            <xdr:cNvPr id="1140" name="xYiF0FSEtP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0</xdr:colOff>
          <xdr:row>21</xdr:row>
          <xdr:rowOff>0</xdr:rowOff>
        </xdr:to>
        <xdr:sp macro="" textlink="">
          <xdr:nvSpPr>
            <xdr:cNvPr id="1141" name="ah997OUgy7" hidden="1">
              <a:extLst>
                <a:ext uri="{63B3BB69-23CF-44E3-9099-C40C66FF867C}">
                  <a14:compatExt spid="_x0000_s1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1142" name="GyiYesjU0D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43" name="O3CjtWCgc/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1144" name="vZEfzzfM4U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1145" name="l/sfqJgF7h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20</xdr:row>
          <xdr:rowOff>0</xdr:rowOff>
        </xdr:from>
        <xdr:to>
          <xdr:col>16</xdr:col>
          <xdr:colOff>0</xdr:colOff>
          <xdr:row>21</xdr:row>
          <xdr:rowOff>0</xdr:rowOff>
        </xdr:to>
        <xdr:sp macro="" textlink="">
          <xdr:nvSpPr>
            <xdr:cNvPr id="1146" name="lzj2wKMMc/" hidden="1">
              <a:extLst>
                <a:ext uri="{63B3BB69-23CF-44E3-9099-C40C66FF867C}">
                  <a14:compatExt spid="_x0000_s1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1147" name="QoIiXrE8RD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1148" name="iODdI8qW8B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149" name="Lo1SX2ARRJ" hidden="1">
              <a:extLst>
                <a:ext uri="{63B3BB69-23CF-44E3-9099-C40C66FF867C}">
                  <a14:compatExt spid="_x0000_s1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150" name="dmCCjzXXbf" hidden="1">
              <a:extLst>
                <a:ext uri="{63B3BB69-23CF-44E3-9099-C40C66FF867C}">
                  <a14:compatExt spid="_x0000_s1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01" name="Label 1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6" name="Rectangle 1"/>
        <xdr:cNvSpPr/>
      </xdr:nvSpPr>
      <xdr:spPr>
        <a:xfrm>
          <a:off x="2800350" y="2790825"/>
          <a:ext cx="3409950" cy="200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38100</xdr:rowOff>
        </xdr:from>
        <xdr:to>
          <xdr:col>4</xdr:col>
          <xdr:colOff>2981325</xdr:colOff>
          <xdr:row>4</xdr:row>
          <xdr:rowOff>0</xdr:rowOff>
        </xdr:to>
        <xdr:sp macro="" textlink="">
          <xdr:nvSpPr>
            <xdr:cNvPr id="4102" name="Label1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7.xml"/><Relationship Id="rId18" Type="http://schemas.openxmlformats.org/officeDocument/2006/relationships/image" Target="../media/image5.emf"/><Relationship Id="rId26" Type="http://schemas.openxmlformats.org/officeDocument/2006/relationships/image" Target="../media/image7.emf"/><Relationship Id="rId39" Type="http://schemas.openxmlformats.org/officeDocument/2006/relationships/control" Target="../activeX/activeX29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6.emf"/><Relationship Id="rId34" Type="http://schemas.openxmlformats.org/officeDocument/2006/relationships/control" Target="../activeX/activeX24.xml"/><Relationship Id="rId42" Type="http://schemas.openxmlformats.org/officeDocument/2006/relationships/control" Target="../activeX/activeX32.xml"/><Relationship Id="rId47" Type="http://schemas.openxmlformats.org/officeDocument/2006/relationships/control" Target="../activeX/activeX37.xml"/><Relationship Id="rId50" Type="http://schemas.openxmlformats.org/officeDocument/2006/relationships/image" Target="../media/image8.emf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ontrol" Target="../activeX/activeX10.xml"/><Relationship Id="rId25" Type="http://schemas.openxmlformats.org/officeDocument/2006/relationships/control" Target="../activeX/activeX16.xml"/><Relationship Id="rId33" Type="http://schemas.openxmlformats.org/officeDocument/2006/relationships/control" Target="../activeX/activeX23.xml"/><Relationship Id="rId38" Type="http://schemas.openxmlformats.org/officeDocument/2006/relationships/control" Target="../activeX/activeX28.xml"/><Relationship Id="rId46" Type="http://schemas.openxmlformats.org/officeDocument/2006/relationships/control" Target="../activeX/activeX36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2.xml"/><Relationship Id="rId29" Type="http://schemas.openxmlformats.org/officeDocument/2006/relationships/control" Target="../activeX/activeX19.xml"/><Relationship Id="rId41" Type="http://schemas.openxmlformats.org/officeDocument/2006/relationships/control" Target="../activeX/activeX3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5.xml"/><Relationship Id="rId32" Type="http://schemas.openxmlformats.org/officeDocument/2006/relationships/control" Target="../activeX/activeX22.xml"/><Relationship Id="rId37" Type="http://schemas.openxmlformats.org/officeDocument/2006/relationships/control" Target="../activeX/activeX27.xml"/><Relationship Id="rId40" Type="http://schemas.openxmlformats.org/officeDocument/2006/relationships/control" Target="../activeX/activeX30.xml"/><Relationship Id="rId45" Type="http://schemas.openxmlformats.org/officeDocument/2006/relationships/control" Target="../activeX/activeX35.xml"/><Relationship Id="rId53" Type="http://schemas.openxmlformats.org/officeDocument/2006/relationships/control" Target="../activeX/activeX42.xml"/><Relationship Id="rId5" Type="http://schemas.openxmlformats.org/officeDocument/2006/relationships/image" Target="../media/image1.emf"/><Relationship Id="rId15" Type="http://schemas.openxmlformats.org/officeDocument/2006/relationships/image" Target="../media/image4.emf"/><Relationship Id="rId23" Type="http://schemas.openxmlformats.org/officeDocument/2006/relationships/control" Target="../activeX/activeX14.xml"/><Relationship Id="rId28" Type="http://schemas.openxmlformats.org/officeDocument/2006/relationships/control" Target="../activeX/activeX18.xml"/><Relationship Id="rId36" Type="http://schemas.openxmlformats.org/officeDocument/2006/relationships/control" Target="../activeX/activeX26.xml"/><Relationship Id="rId49" Type="http://schemas.openxmlformats.org/officeDocument/2006/relationships/control" Target="../activeX/activeX39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1.xml"/><Relationship Id="rId31" Type="http://schemas.openxmlformats.org/officeDocument/2006/relationships/control" Target="../activeX/activeX21.xml"/><Relationship Id="rId44" Type="http://schemas.openxmlformats.org/officeDocument/2006/relationships/control" Target="../activeX/activeX34.xml"/><Relationship Id="rId52" Type="http://schemas.openxmlformats.org/officeDocument/2006/relationships/control" Target="../activeX/activeX4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3.xml"/><Relationship Id="rId27" Type="http://schemas.openxmlformats.org/officeDocument/2006/relationships/control" Target="../activeX/activeX17.xml"/><Relationship Id="rId30" Type="http://schemas.openxmlformats.org/officeDocument/2006/relationships/control" Target="../activeX/activeX20.xml"/><Relationship Id="rId35" Type="http://schemas.openxmlformats.org/officeDocument/2006/relationships/control" Target="../activeX/activeX25.xml"/><Relationship Id="rId43" Type="http://schemas.openxmlformats.org/officeDocument/2006/relationships/control" Target="../activeX/activeX33.xml"/><Relationship Id="rId48" Type="http://schemas.openxmlformats.org/officeDocument/2006/relationships/control" Target="../activeX/activeX38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4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4.xml"/><Relationship Id="rId5" Type="http://schemas.openxmlformats.org/officeDocument/2006/relationships/image" Target="../media/image9.emf"/><Relationship Id="rId4" Type="http://schemas.openxmlformats.org/officeDocument/2006/relationships/control" Target="../activeX/activeX4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autoPageBreaks="0"/>
  </sheetPr>
  <dimension ref="A1:V31"/>
  <sheetViews>
    <sheetView showGridLines="0" showRowColHeaders="0" tabSelected="1" zoomScale="80" zoomScaleNormal="80" workbookViewId="0">
      <selection activeCell="N9" sqref="N9"/>
    </sheetView>
  </sheetViews>
  <sheetFormatPr defaultRowHeight="15" x14ac:dyDescent="0.25"/>
  <cols>
    <col min="1" max="1" width="30.42578125" style="3" customWidth="1"/>
    <col min="2" max="3" width="4.7109375" style="3" customWidth="1"/>
    <col min="4" max="4" width="2.140625" customWidth="1"/>
    <col min="5" max="5" width="51.140625" style="3" customWidth="1"/>
    <col min="6" max="10" width="4.7109375" style="3" customWidth="1"/>
    <col min="11" max="11" width="42.28515625" style="3" customWidth="1"/>
    <col min="12" max="13" width="4.7109375" style="3" customWidth="1"/>
    <col min="14" max="14" width="21.42578125" style="3" customWidth="1"/>
    <col min="15" max="18" width="4.7109375" style="3" customWidth="1"/>
    <col min="19" max="19" width="4.28515625" style="3" customWidth="1"/>
    <col min="20" max="20" width="21.85546875" style="3" customWidth="1"/>
    <col min="21" max="22" width="4.7109375" style="3" customWidth="1"/>
    <col min="23" max="16384" width="9.140625" style="3"/>
  </cols>
  <sheetData>
    <row r="1" spans="1:22" ht="18.75" x14ac:dyDescent="0.25">
      <c r="A1" s="5" t="s">
        <v>14</v>
      </c>
      <c r="B1" s="2"/>
      <c r="E1" s="2"/>
    </row>
    <row r="2" spans="1:22" customFormat="1" ht="5.25" customHeight="1" x14ac:dyDescent="0.25"/>
    <row r="3" spans="1:22" x14ac:dyDescent="0.25">
      <c r="A3" s="6" t="s">
        <v>5</v>
      </c>
      <c r="B3" s="2"/>
      <c r="E3" s="6" t="s">
        <v>150</v>
      </c>
    </row>
    <row r="4" spans="1:22" x14ac:dyDescent="0.25">
      <c r="A4" s="4" t="s">
        <v>17</v>
      </c>
      <c r="B4" s="2"/>
      <c r="E4" s="4" t="s">
        <v>1</v>
      </c>
    </row>
    <row r="5" spans="1:22" x14ac:dyDescent="0.25">
      <c r="A5" s="4" t="s">
        <v>15</v>
      </c>
      <c r="B5" s="2"/>
      <c r="E5" s="4" t="s">
        <v>0</v>
      </c>
    </row>
    <row r="6" spans="1:22" x14ac:dyDescent="0.25">
      <c r="A6" s="4" t="s">
        <v>16</v>
      </c>
      <c r="B6" s="2"/>
      <c r="E6" s="4" t="s">
        <v>2</v>
      </c>
    </row>
    <row r="7" spans="1:22" x14ac:dyDescent="0.25">
      <c r="A7" s="2"/>
      <c r="B7" s="2"/>
      <c r="E7" s="2"/>
    </row>
    <row r="8" spans="1:22" ht="15.75" thickBot="1" x14ac:dyDescent="0.3">
      <c r="A8" s="6" t="s">
        <v>21</v>
      </c>
      <c r="B8" s="4" t="s">
        <v>6</v>
      </c>
      <c r="C8" s="4" t="s">
        <v>7</v>
      </c>
      <c r="E8" s="6" t="s">
        <v>28</v>
      </c>
      <c r="F8" s="4" t="s">
        <v>40</v>
      </c>
      <c r="G8" s="4" t="s">
        <v>39</v>
      </c>
      <c r="H8" s="4" t="s">
        <v>6</v>
      </c>
      <c r="I8" s="4" t="s">
        <v>7</v>
      </c>
      <c r="J8" s="2"/>
      <c r="N8" s="2"/>
      <c r="O8" s="2"/>
      <c r="P8" s="2"/>
      <c r="Q8" s="2"/>
      <c r="R8" s="2"/>
      <c r="S8" s="2"/>
      <c r="T8" s="2"/>
    </row>
    <row r="9" spans="1:22" ht="60" x14ac:dyDescent="0.25">
      <c r="A9" s="7" t="s">
        <v>34</v>
      </c>
      <c r="B9" s="2"/>
      <c r="C9" s="2"/>
      <c r="E9" s="20" t="s">
        <v>36</v>
      </c>
      <c r="G9" s="2"/>
      <c r="H9" s="2"/>
      <c r="I9" s="2"/>
      <c r="J9" s="2"/>
      <c r="N9" s="2"/>
      <c r="O9" s="2"/>
      <c r="P9" s="2"/>
      <c r="Q9" s="2"/>
      <c r="R9" s="2"/>
      <c r="S9" s="2"/>
      <c r="T9" s="2"/>
    </row>
    <row r="10" spans="1:22" customFormat="1" x14ac:dyDescent="0.25">
      <c r="F10" s="3"/>
    </row>
    <row r="11" spans="1:22" x14ac:dyDescent="0.25">
      <c r="E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1:22" x14ac:dyDescent="0.25">
      <c r="E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22" ht="15.75" thickBot="1" x14ac:dyDescent="0.3">
      <c r="A13" s="6" t="s">
        <v>4</v>
      </c>
      <c r="B13" s="4" t="s">
        <v>6</v>
      </c>
      <c r="C13" s="4" t="s">
        <v>7</v>
      </c>
      <c r="E13" s="6" t="s">
        <v>8</v>
      </c>
      <c r="F13" s="4" t="s">
        <v>40</v>
      </c>
      <c r="G13" s="4" t="s">
        <v>39</v>
      </c>
      <c r="H13" s="4" t="s">
        <v>6</v>
      </c>
      <c r="I13" s="4" t="s">
        <v>7</v>
      </c>
      <c r="J13" s="2"/>
      <c r="K13" s="6" t="s">
        <v>10</v>
      </c>
      <c r="L13" s="4" t="s">
        <v>6</v>
      </c>
      <c r="M13" s="4" t="s">
        <v>7</v>
      </c>
      <c r="N13" s="2"/>
      <c r="O13" s="2"/>
      <c r="P13" s="2"/>
      <c r="Q13" s="2"/>
      <c r="R13" s="2"/>
      <c r="S13" s="2"/>
      <c r="T13" s="6" t="s">
        <v>23</v>
      </c>
      <c r="U13" s="4" t="s">
        <v>6</v>
      </c>
      <c r="V13" s="4" t="s">
        <v>7</v>
      </c>
    </row>
    <row r="14" spans="1:22" ht="60.75" thickBot="1" x14ac:dyDescent="0.3">
      <c r="A14" s="7" t="s">
        <v>33</v>
      </c>
      <c r="B14" s="2"/>
      <c r="C14" s="2"/>
      <c r="E14" s="7" t="s">
        <v>41</v>
      </c>
      <c r="F14" s="2"/>
      <c r="G14" s="2"/>
      <c r="H14" s="2"/>
      <c r="I14" s="2"/>
      <c r="J14" s="2"/>
      <c r="K14" s="7" t="s">
        <v>19</v>
      </c>
      <c r="L14" s="2"/>
      <c r="M14" s="2"/>
      <c r="N14" s="2"/>
      <c r="O14" s="2"/>
      <c r="P14" s="2"/>
      <c r="Q14" s="2"/>
      <c r="R14" s="2"/>
      <c r="S14" s="2"/>
      <c r="T14" s="7" t="s">
        <v>27</v>
      </c>
      <c r="U14" s="2"/>
      <c r="V14" s="2"/>
    </row>
    <row r="15" spans="1:22" ht="75.75" thickBot="1" x14ac:dyDescent="0.3">
      <c r="A15" s="2"/>
      <c r="B15" s="2"/>
      <c r="C15" s="2"/>
      <c r="E15" s="7" t="s">
        <v>35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22" ht="32.25" customHeight="1" x14ac:dyDescent="0.25">
      <c r="A16" s="2"/>
      <c r="B16" s="2"/>
      <c r="C16" s="2"/>
      <c r="E16" s="7" t="s">
        <v>25</v>
      </c>
      <c r="F16" s="2"/>
      <c r="G16" s="2"/>
      <c r="H16" s="2"/>
      <c r="I16" s="2"/>
      <c r="J16" s="2"/>
      <c r="N16" s="2"/>
      <c r="O16" s="2"/>
      <c r="P16" s="2"/>
      <c r="Q16" s="2"/>
      <c r="R16" s="2"/>
      <c r="S16" s="2"/>
      <c r="T16" s="2"/>
    </row>
    <row r="17" spans="1:22" x14ac:dyDescent="0.25">
      <c r="A17" s="2"/>
      <c r="B17" s="2"/>
      <c r="C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22" ht="15.75" thickBot="1" x14ac:dyDescent="0.3">
      <c r="E18" s="6" t="s">
        <v>9</v>
      </c>
      <c r="F18" s="4" t="s">
        <v>40</v>
      </c>
      <c r="G18" s="4" t="s">
        <v>39</v>
      </c>
      <c r="H18" s="4" t="s">
        <v>6</v>
      </c>
      <c r="I18" s="4" t="s">
        <v>7</v>
      </c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22" x14ac:dyDescent="0.25">
      <c r="E19" s="7" t="s">
        <v>18</v>
      </c>
      <c r="I19" s="2"/>
      <c r="J19" s="2"/>
      <c r="K19" s="2"/>
      <c r="L19" s="2"/>
      <c r="M19" s="2"/>
      <c r="N19" s="2"/>
      <c r="O19" s="2"/>
      <c r="P19" s="2"/>
      <c r="R19" s="2"/>
      <c r="S19" s="2"/>
    </row>
    <row r="20" spans="1:22" x14ac:dyDescent="0.25">
      <c r="E20" s="2"/>
      <c r="I20" s="2"/>
      <c r="J20" s="2"/>
      <c r="K20" s="2"/>
      <c r="L20" s="2"/>
      <c r="M20" s="2"/>
      <c r="N20" s="2"/>
      <c r="O20" s="2"/>
      <c r="P20" s="2"/>
      <c r="R20" s="2"/>
      <c r="S20" s="2"/>
      <c r="T20" s="2"/>
    </row>
    <row r="21" spans="1:22" ht="15.75" thickBot="1" x14ac:dyDescent="0.3">
      <c r="A21" s="2"/>
      <c r="B21" s="2"/>
      <c r="C21" s="2"/>
      <c r="J21" s="2"/>
      <c r="K21" s="2"/>
      <c r="L21" s="2"/>
      <c r="M21" s="2"/>
      <c r="N21" s="6" t="s">
        <v>11</v>
      </c>
      <c r="O21" s="4" t="s">
        <v>40</v>
      </c>
      <c r="P21" s="4" t="s">
        <v>39</v>
      </c>
      <c r="Q21" s="4" t="s">
        <v>6</v>
      </c>
      <c r="R21" s="4" t="s">
        <v>7</v>
      </c>
      <c r="S21" s="2"/>
      <c r="T21" s="6" t="s">
        <v>13</v>
      </c>
      <c r="U21" s="4" t="s">
        <v>6</v>
      </c>
      <c r="V21" s="4" t="s">
        <v>7</v>
      </c>
    </row>
    <row r="22" spans="1:22" ht="75" x14ac:dyDescent="0.25">
      <c r="A22" s="2"/>
      <c r="B22" s="2"/>
      <c r="C22" s="2"/>
      <c r="J22" s="2"/>
      <c r="K22" s="2"/>
      <c r="L22" s="2"/>
      <c r="M22" s="2"/>
      <c r="N22" s="7" t="s">
        <v>26</v>
      </c>
      <c r="O22" s="2"/>
      <c r="P22" s="2"/>
      <c r="Q22" s="2"/>
      <c r="R22" s="2"/>
      <c r="S22" s="2"/>
      <c r="T22" s="7" t="s">
        <v>24</v>
      </c>
      <c r="U22" s="2"/>
      <c r="V22" s="2"/>
    </row>
    <row r="23" spans="1:22" x14ac:dyDescent="0.25">
      <c r="A23" s="2"/>
      <c r="B23" s="2"/>
      <c r="C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1:22" ht="15.75" thickBot="1" x14ac:dyDescent="0.3">
      <c r="A24" s="2"/>
      <c r="B24" s="2"/>
      <c r="C24" s="2"/>
      <c r="E24" s="2"/>
      <c r="F24" s="2"/>
      <c r="G24" s="2"/>
      <c r="H24" s="2"/>
      <c r="I24" s="2"/>
      <c r="J24" s="2"/>
      <c r="N24" s="6" t="s">
        <v>12</v>
      </c>
      <c r="O24" s="4" t="s">
        <v>40</v>
      </c>
      <c r="P24" s="4" t="s">
        <v>39</v>
      </c>
      <c r="Q24" s="4" t="s">
        <v>6</v>
      </c>
      <c r="R24" s="4" t="s">
        <v>7</v>
      </c>
      <c r="S24" s="2"/>
      <c r="T24" s="2"/>
    </row>
    <row r="25" spans="1:22" x14ac:dyDescent="0.25">
      <c r="A25" s="2"/>
      <c r="B25" s="2"/>
      <c r="C25" s="2"/>
      <c r="E25" s="2"/>
      <c r="F25" s="2"/>
      <c r="G25" s="2"/>
      <c r="H25" s="2"/>
      <c r="I25" s="2"/>
      <c r="J25" s="2"/>
      <c r="N25" s="7" t="s">
        <v>22</v>
      </c>
      <c r="O25" s="2"/>
      <c r="P25" s="2"/>
      <c r="Q25" s="2"/>
      <c r="R25" s="2"/>
      <c r="S25" s="2"/>
      <c r="T25" s="2"/>
    </row>
    <row r="26" spans="1:22" x14ac:dyDescent="0.25">
      <c r="A26" s="2"/>
      <c r="B26" s="2"/>
      <c r="C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1:22" x14ac:dyDescent="0.25">
      <c r="A27" s="2"/>
      <c r="B27" s="2"/>
      <c r="C27" s="2"/>
      <c r="E27" s="2"/>
      <c r="F27" s="2"/>
      <c r="G27" s="2"/>
      <c r="H27" s="2"/>
      <c r="I27" s="2"/>
      <c r="J27" s="2"/>
      <c r="K27" s="2"/>
      <c r="L27" s="2"/>
      <c r="M27" s="2"/>
      <c r="S27" s="2"/>
    </row>
    <row r="28" spans="1:22" ht="15.75" thickBot="1" x14ac:dyDescent="0.3">
      <c r="A28" s="2"/>
      <c r="B28" s="2"/>
      <c r="C28" s="2"/>
      <c r="E28" s="6" t="s">
        <v>37</v>
      </c>
      <c r="F28" s="4" t="s">
        <v>40</v>
      </c>
      <c r="G28" s="4" t="s">
        <v>39</v>
      </c>
      <c r="H28" s="4" t="s">
        <v>6</v>
      </c>
      <c r="I28" s="4" t="s">
        <v>7</v>
      </c>
      <c r="J28" s="2"/>
      <c r="K28" s="6" t="s">
        <v>3</v>
      </c>
      <c r="L28" s="4" t="s">
        <v>6</v>
      </c>
      <c r="M28" s="4" t="s">
        <v>7</v>
      </c>
      <c r="S28" s="2"/>
    </row>
    <row r="29" spans="1:22" x14ac:dyDescent="0.25">
      <c r="A29" s="2"/>
      <c r="B29" s="2"/>
      <c r="C29" s="2"/>
      <c r="E29" s="7" t="s">
        <v>38</v>
      </c>
      <c r="F29" s="2"/>
      <c r="G29" s="2"/>
      <c r="H29" s="2"/>
      <c r="I29" s="2"/>
      <c r="J29" s="2"/>
      <c r="K29" s="7" t="s">
        <v>20</v>
      </c>
      <c r="L29" s="2"/>
      <c r="M29" s="2"/>
      <c r="S29" s="2"/>
    </row>
    <row r="30" spans="1:22" x14ac:dyDescent="0.25">
      <c r="A30" s="2"/>
      <c r="B30" s="2"/>
      <c r="C30" s="2"/>
      <c r="E30" s="2"/>
      <c r="F30" s="2"/>
      <c r="G30" s="2"/>
      <c r="H30" s="2"/>
      <c r="I30" s="2"/>
      <c r="J30" s="2"/>
      <c r="K30" s="2"/>
      <c r="L30" s="2"/>
      <c r="M30" s="2"/>
      <c r="S30" s="2"/>
    </row>
    <row r="31" spans="1:22" x14ac:dyDescent="0.25">
      <c r="A31" s="2"/>
      <c r="B31" s="2"/>
      <c r="C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50" r:id="rId4" name="dmCCjzXXbf">
          <controlPr defaultSize="0" autoFill="0" autoLine="0" r:id="rId5">
            <anchor moveWithCells="1">
              <from>
                <xdr:col>10</xdr:col>
                <xdr:colOff>0</xdr:colOff>
                <xdr:row>12</xdr:row>
                <xdr:rowOff>0</xdr:rowOff>
              </from>
              <to>
                <xdr:col>11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50" r:id="rId4" name="dmCCjzXXbf"/>
      </mc:Fallback>
    </mc:AlternateContent>
    <mc:AlternateContent xmlns:mc="http://schemas.openxmlformats.org/markup-compatibility/2006">
      <mc:Choice Requires="x14">
        <control shapeId="1149" r:id="rId6" name="Lo1SX2ARRJ">
          <controlPr defaultSize="0" autoFill="0" autoLine="0" r:id="rId7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149" r:id="rId6" name="Lo1SX2ARRJ"/>
      </mc:Fallback>
    </mc:AlternateContent>
    <mc:AlternateContent xmlns:mc="http://schemas.openxmlformats.org/markup-compatibility/2006">
      <mc:Choice Requires="x14">
        <control shapeId="1148" r:id="rId8" name="iODdI8qW8B">
          <controlPr defaultSize="0" autoFill="0" autoLine="0" r:id="rId9">
            <anchor moveWithCells="1">
              <from>
                <xdr:col>7</xdr:col>
                <xdr:colOff>0</xdr:colOff>
                <xdr:row>17</xdr:row>
                <xdr:rowOff>0</xdr:rowOff>
              </from>
              <to>
                <xdr:col>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8" r:id="rId8" name="iODdI8qW8B"/>
      </mc:Fallback>
    </mc:AlternateContent>
    <mc:AlternateContent xmlns:mc="http://schemas.openxmlformats.org/markup-compatibility/2006">
      <mc:Choice Requires="x14">
        <control shapeId="1147" r:id="rId10" name="QoIiXrE8RD">
          <controlPr defaultSize="0" autoFill="0" autoLine="0" r:id="rId9">
            <anchor moveWithCells="1">
              <from>
                <xdr:col>14</xdr:col>
                <xdr:colOff>0</xdr:colOff>
                <xdr:row>20</xdr:row>
                <xdr:rowOff>0</xdr:rowOff>
              </from>
              <to>
                <xdr:col>15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47" r:id="rId10" name="QoIiXrE8RD"/>
      </mc:Fallback>
    </mc:AlternateContent>
    <mc:AlternateContent xmlns:mc="http://schemas.openxmlformats.org/markup-compatibility/2006">
      <mc:Choice Requires="x14">
        <control shapeId="1146" r:id="rId11" name="lzj2wKMMc/">
          <controlPr defaultSize="0" autoFill="0" autoLine="0" r:id="rId9">
            <anchor moveWithCells="1">
              <from>
                <xdr:col>15</xdr:col>
                <xdr:colOff>0</xdr:colOff>
                <xdr:row>20</xdr:row>
                <xdr:rowOff>0</xdr:rowOff>
              </from>
              <to>
                <xdr:col>16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46" r:id="rId11" name="lzj2wKMMc/"/>
      </mc:Fallback>
    </mc:AlternateContent>
    <mc:AlternateContent xmlns:mc="http://schemas.openxmlformats.org/markup-compatibility/2006">
      <mc:Choice Requires="x14">
        <control shapeId="1145" r:id="rId12" name="l/sfqJgF7h">
          <controlPr defaultSize="0" autoFill="0" autoLine="0" r:id="rId9">
            <anchor moveWithCells="1">
              <from>
                <xdr:col>6</xdr:col>
                <xdr:colOff>0</xdr:colOff>
                <xdr:row>17</xdr:row>
                <xdr:rowOff>0</xdr:rowOff>
              </from>
              <to>
                <xdr:col>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5" r:id="rId12" name="l/sfqJgF7h"/>
      </mc:Fallback>
    </mc:AlternateContent>
    <mc:AlternateContent xmlns:mc="http://schemas.openxmlformats.org/markup-compatibility/2006">
      <mc:Choice Requires="x14">
        <control shapeId="1144" r:id="rId13" name="vZEfzzfM4U">
          <controlPr defaultSize="0" autoFill="0" autoLine="0" r:id="rId9">
            <anchor moveWithCells="1">
              <from>
                <xdr:col>8</xdr:col>
                <xdr:colOff>0</xdr:colOff>
                <xdr:row>27</xdr:row>
                <xdr:rowOff>0</xdr:rowOff>
              </from>
              <to>
                <xdr:col>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44" r:id="rId13" name="vZEfzzfM4U"/>
      </mc:Fallback>
    </mc:AlternateContent>
    <mc:AlternateContent xmlns:mc="http://schemas.openxmlformats.org/markup-compatibility/2006">
      <mc:Choice Requires="x14">
        <control shapeId="1143" r:id="rId14" name="O3CjtWCgc/">
          <controlPr defaultSize="0" autoFill="0" autoLine="0" r:id="rId15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43" r:id="rId14" name="O3CjtWCgc/"/>
      </mc:Fallback>
    </mc:AlternateContent>
    <mc:AlternateContent xmlns:mc="http://schemas.openxmlformats.org/markup-compatibility/2006">
      <mc:Choice Requires="x14">
        <control shapeId="1142" r:id="rId16" name="GyiYesjU0D">
          <controlPr defaultSize="0" autoFill="0" autoLine="0" r:id="rId9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42" r:id="rId16" name="GyiYesjU0D"/>
      </mc:Fallback>
    </mc:AlternateContent>
    <mc:AlternateContent xmlns:mc="http://schemas.openxmlformats.org/markup-compatibility/2006">
      <mc:Choice Requires="x14">
        <control shapeId="1141" r:id="rId17" name="ah997OUgy7">
          <controlPr defaultSize="0" autoFill="0" autoLine="0" r:id="rId18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41" r:id="rId17" name="ah997OUgy7"/>
      </mc:Fallback>
    </mc:AlternateContent>
    <mc:AlternateContent xmlns:mc="http://schemas.openxmlformats.org/markup-compatibility/2006">
      <mc:Choice Requires="x14">
        <control shapeId="1140" r:id="rId19" name="xYiF0FSEtP">
          <controlPr defaultSize="0" autoFill="0" autoLine="0" r:id="rId18">
            <anchor moveWithCells="1">
              <from>
                <xdr:col>19</xdr:col>
                <xdr:colOff>0</xdr:colOff>
                <xdr:row>12</xdr:row>
                <xdr:rowOff>0</xdr:rowOff>
              </from>
              <to>
                <xdr:col>20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" r:id="rId19" name="xYiF0FSEtP"/>
      </mc:Fallback>
    </mc:AlternateContent>
    <mc:AlternateContent xmlns:mc="http://schemas.openxmlformats.org/markup-compatibility/2006">
      <mc:Choice Requires="x14">
        <control shapeId="1139" r:id="rId20" name="3M7PvuFREs">
          <controlPr defaultSize="0" autoFill="0" autoLine="0" r:id="rId21">
            <anchor moveWithCells="1">
              <from>
                <xdr:col>13</xdr:col>
                <xdr:colOff>0</xdr:colOff>
                <xdr:row>23</xdr:row>
                <xdr:rowOff>0</xdr:rowOff>
              </from>
              <to>
                <xdr:col>14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39" r:id="rId20" name="3M7PvuFREs"/>
      </mc:Fallback>
    </mc:AlternateContent>
    <mc:AlternateContent xmlns:mc="http://schemas.openxmlformats.org/markup-compatibility/2006">
      <mc:Choice Requires="x14">
        <control shapeId="1138" r:id="rId22" name="c4fdVMDMYv">
          <controlPr defaultSize="0" autoFill="0" autoLine="0" r:id="rId21">
            <anchor moveWithCells="1">
              <from>
                <xdr:col>13</xdr:col>
                <xdr:colOff>0</xdr:colOff>
                <xdr:row>20</xdr:row>
                <xdr:rowOff>0</xdr:rowOff>
              </from>
              <to>
                <xdr:col>14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38" r:id="rId22" name="c4fdVMDMYv"/>
      </mc:Fallback>
    </mc:AlternateContent>
    <mc:AlternateContent xmlns:mc="http://schemas.openxmlformats.org/markup-compatibility/2006">
      <mc:Choice Requires="x14">
        <control shapeId="1137" r:id="rId23" name="c5Q257+yCc">
          <controlPr defaultSize="0" autoFill="0" autoLine="0" r:id="rId5">
            <anchor moveWithCells="1">
              <from>
                <xdr:col>10</xdr:col>
                <xdr:colOff>0</xdr:colOff>
                <xdr:row>27</xdr:row>
                <xdr:rowOff>0</xdr:rowOff>
              </from>
              <to>
                <xdr:col>11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37" r:id="rId23" name="c5Q257+yCc"/>
      </mc:Fallback>
    </mc:AlternateContent>
    <mc:AlternateContent xmlns:mc="http://schemas.openxmlformats.org/markup-compatibility/2006">
      <mc:Choice Requires="x14">
        <control shapeId="1136" r:id="rId24" name="H+YEr9v8cL">
          <controlPr defaultSize="0" autoFill="0" autoLine="0" r:id="rId15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" r:id="rId24" name="H+YEr9v8cL"/>
      </mc:Fallback>
    </mc:AlternateContent>
    <mc:AlternateContent xmlns:mc="http://schemas.openxmlformats.org/markup-compatibility/2006">
      <mc:Choice Requires="x14">
        <control shapeId="1135" r:id="rId25" name="v1tbOjyZNZ">
          <controlPr defaultSize="0" autoFill="0" autoLine="0" r:id="rId26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5" r:id="rId25" name="v1tbOjyZNZ"/>
      </mc:Fallback>
    </mc:AlternateContent>
    <mc:AlternateContent xmlns:mc="http://schemas.openxmlformats.org/markup-compatibility/2006">
      <mc:Choice Requires="x14">
        <control shapeId="1134" r:id="rId27" name="XfdiDp74c5">
          <controlPr defaultSize="0" autoFill="0" autoLine="0" r:id="rId9">
            <anchor moveWithCells="1">
              <from>
                <xdr:col>8</xdr:col>
                <xdr:colOff>0</xdr:colOff>
                <xdr:row>7</xdr:row>
                <xdr:rowOff>0</xdr:rowOff>
              </from>
              <to>
                <xdr:col>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4" r:id="rId27" name="XfdiDp74c5"/>
      </mc:Fallback>
    </mc:AlternateContent>
    <mc:AlternateContent xmlns:mc="http://schemas.openxmlformats.org/markup-compatibility/2006">
      <mc:Choice Requires="x14">
        <control shapeId="1133" r:id="rId28" name="G2Vk4Q1RyE">
          <controlPr defaultSize="0" autoFill="0" autoLine="0" r:id="rId9">
            <anchor moveWithCells="1">
              <from>
                <xdr:col>20</xdr:col>
                <xdr:colOff>0</xdr:colOff>
                <xdr:row>20</xdr:row>
                <xdr:rowOff>0</xdr:rowOff>
              </from>
              <to>
                <xdr:col>21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33" r:id="rId28" name="G2Vk4Q1RyE"/>
      </mc:Fallback>
    </mc:AlternateContent>
    <mc:AlternateContent xmlns:mc="http://schemas.openxmlformats.org/markup-compatibility/2006">
      <mc:Choice Requires="x14">
        <control shapeId="1132" r:id="rId29" name="Gb9AdivjZX">
          <controlPr defaultSize="0" autoFill="0" autoLine="0" r:id="rId9">
            <anchor moveWithCells="1">
              <from>
                <xdr:col>2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" r:id="rId29" name="Gb9AdivjZX"/>
      </mc:Fallback>
    </mc:AlternateContent>
    <mc:AlternateContent xmlns:mc="http://schemas.openxmlformats.org/markup-compatibility/2006">
      <mc:Choice Requires="x14">
        <control shapeId="1131" r:id="rId30" name="maXZ1dKYiQ">
          <controlPr defaultSize="0" autoFill="0" autoLine="0" r:id="rId9">
            <anchor moveWithCells="1">
              <from>
                <xdr:col>21</xdr:col>
                <xdr:colOff>0</xdr:colOff>
                <xdr:row>20</xdr:row>
                <xdr:rowOff>0</xdr:rowOff>
              </from>
              <to>
                <xdr:col>22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31" r:id="rId30" name="maXZ1dKYiQ"/>
      </mc:Fallback>
    </mc:AlternateContent>
    <mc:AlternateContent xmlns:mc="http://schemas.openxmlformats.org/markup-compatibility/2006">
      <mc:Choice Requires="x14">
        <control shapeId="1130" r:id="rId31" name="hov3Xwjssk">
          <controlPr defaultSize="0" autoFill="0" autoLine="0" r:id="rId7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1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130" r:id="rId31" name="hov3Xwjssk"/>
      </mc:Fallback>
    </mc:AlternateContent>
    <mc:AlternateContent xmlns:mc="http://schemas.openxmlformats.org/markup-compatibility/2006">
      <mc:Choice Requires="x14">
        <control shapeId="1129" r:id="rId32" name="/1Uai0Tmm0">
          <controlPr defaultSize="0" autoFill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1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129" r:id="rId32" name="/1Uai0Tmm0"/>
      </mc:Fallback>
    </mc:AlternateContent>
    <mc:AlternateContent xmlns:mc="http://schemas.openxmlformats.org/markup-compatibility/2006">
      <mc:Choice Requires="x14">
        <control shapeId="1128" r:id="rId33" name="dZSBjhnmaJ">
          <controlPr defaultSize="0" autoFill="0" autoLine="0" r:id="rId7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128" r:id="rId33" name="dZSBjhnmaJ"/>
      </mc:Fallback>
    </mc:AlternateContent>
    <mc:AlternateContent xmlns:mc="http://schemas.openxmlformats.org/markup-compatibility/2006">
      <mc:Choice Requires="x14">
        <control shapeId="1127" r:id="rId34" name="LVj1AUT9EN">
          <controlPr defaultSize="0" autoFill="0" autoLine="0" r:id="rId15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27" r:id="rId34" name="LVj1AUT9EN"/>
      </mc:Fallback>
    </mc:AlternateContent>
    <mc:AlternateContent xmlns:mc="http://schemas.openxmlformats.org/markup-compatibility/2006">
      <mc:Choice Requires="x14">
        <control shapeId="1126" r:id="rId35" name="5elVwgOmK6">
          <controlPr defaultSize="0" autoFill="0" autoLine="0" r:id="rId26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26" r:id="rId35" name="5elVwgOmK6"/>
      </mc:Fallback>
    </mc:AlternateContent>
    <mc:AlternateContent xmlns:mc="http://schemas.openxmlformats.org/markup-compatibility/2006">
      <mc:Choice Requires="x14">
        <control shapeId="1125" r:id="rId36" name="ck8L0CTT0/">
          <controlPr defaultSize="0" autoFill="0" autoLine="0" r:id="rId9">
            <anchor moveWithCells="1">
              <from>
                <xdr:col>17</xdr:col>
                <xdr:colOff>0</xdr:colOff>
                <xdr:row>23</xdr:row>
                <xdr:rowOff>0</xdr:rowOff>
              </from>
              <to>
                <xdr:col>18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25" r:id="rId36" name="ck8L0CTT0/"/>
      </mc:Fallback>
    </mc:AlternateContent>
    <mc:AlternateContent xmlns:mc="http://schemas.openxmlformats.org/markup-compatibility/2006">
      <mc:Choice Requires="x14">
        <control shapeId="1124" r:id="rId37" name="zm7LI5UpF5">
          <controlPr defaultSize="0" autoFill="0" autoLine="0" r:id="rId9">
            <anchor moveWithCells="1">
              <from>
                <xdr:col>16</xdr:col>
                <xdr:colOff>0</xdr:colOff>
                <xdr:row>20</xdr:row>
                <xdr:rowOff>0</xdr:rowOff>
              </from>
              <to>
                <xdr:col>17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24" r:id="rId37" name="zm7LI5UpF5"/>
      </mc:Fallback>
    </mc:AlternateContent>
    <mc:AlternateContent xmlns:mc="http://schemas.openxmlformats.org/markup-compatibility/2006">
      <mc:Choice Requires="x14">
        <control shapeId="1123" r:id="rId38" name="H/k9SGc4Nr">
          <controlPr defaultSize="0" autoFill="0" autoLine="0" r:id="rId9">
            <anchor moveWithCells="1">
              <from>
                <xdr:col>17</xdr:col>
                <xdr:colOff>0</xdr:colOff>
                <xdr:row>20</xdr:row>
                <xdr:rowOff>0</xdr:rowOff>
              </from>
              <to>
                <xdr:col>18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23" r:id="rId38" name="H/k9SGc4Nr"/>
      </mc:Fallback>
    </mc:AlternateContent>
    <mc:AlternateContent xmlns:mc="http://schemas.openxmlformats.org/markup-compatibility/2006">
      <mc:Choice Requires="x14">
        <control shapeId="1122" r:id="rId39" name="HMBzYHYQ7o">
          <controlPr defaultSize="0" autoFill="0" autoLine="0" r:id="rId9">
            <anchor moveWithCells="1">
              <from>
                <xdr:col>12</xdr:col>
                <xdr:colOff>0</xdr:colOff>
                <xdr:row>27</xdr:row>
                <xdr:rowOff>0</xdr:rowOff>
              </from>
              <to>
                <xdr:col>13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22" r:id="rId39" name="HMBzYHYQ7o"/>
      </mc:Fallback>
    </mc:AlternateContent>
    <mc:AlternateContent xmlns:mc="http://schemas.openxmlformats.org/markup-compatibility/2006">
      <mc:Choice Requires="x14">
        <control shapeId="1121" r:id="rId40" name="IDKZP39s5U">
          <controlPr defaultSize="0" autoFill="0" autoLine="0" r:id="rId9">
            <anchor moveWithCells="1">
              <from>
                <xdr:col>5</xdr:col>
                <xdr:colOff>0</xdr:colOff>
                <xdr:row>17</xdr:row>
                <xdr:rowOff>0</xdr:rowOff>
              </from>
              <to>
                <xdr:col>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21" r:id="rId40" name="IDKZP39s5U"/>
      </mc:Fallback>
    </mc:AlternateContent>
    <mc:AlternateContent xmlns:mc="http://schemas.openxmlformats.org/markup-compatibility/2006">
      <mc:Choice Requires="x14">
        <control shapeId="1120" r:id="rId41" name="ZPZp6MKkqs">
          <controlPr defaultSize="0" autoFill="0" autoLine="0" r:id="rId9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20" r:id="rId41" name="ZPZp6MKkqs"/>
      </mc:Fallback>
    </mc:AlternateContent>
    <mc:AlternateContent xmlns:mc="http://schemas.openxmlformats.org/markup-compatibility/2006">
      <mc:Choice Requires="x14">
        <control shapeId="1119" r:id="rId42" name="nQ6Jnk1MZ3">
          <controlPr defaultSize="0" autoFill="0" autoLine="0" r:id="rId9">
            <anchor moveWithCells="1">
              <from>
                <xdr:col>1</xdr:col>
                <xdr:colOff>0</xdr:colOff>
                <xdr:row>12</xdr:row>
                <xdr:rowOff>0</xdr:rowOff>
              </from>
              <to>
                <xdr:col>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19" r:id="rId42" name="nQ6Jnk1MZ3"/>
      </mc:Fallback>
    </mc:AlternateContent>
    <mc:AlternateContent xmlns:mc="http://schemas.openxmlformats.org/markup-compatibility/2006">
      <mc:Choice Requires="x14">
        <control shapeId="1118" r:id="rId43" name="b10HgL8BWg">
          <controlPr defaultSize="0" autoFill="0" autoLine="0" r:id="rId9">
            <anchor moveWithCells="1">
              <from>
                <xdr:col>8</xdr:col>
                <xdr:colOff>0</xdr:colOff>
                <xdr:row>12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18" r:id="rId43" name="b10HgL8BWg"/>
      </mc:Fallback>
    </mc:AlternateContent>
    <mc:AlternateContent xmlns:mc="http://schemas.openxmlformats.org/markup-compatibility/2006">
      <mc:Choice Requires="x14">
        <control shapeId="1117" r:id="rId44" name="nWNAZ19HwP">
          <controlPr defaultSize="0" autoFill="0" autoLine="0" r:id="rId9">
            <anchor moveWithCells="1">
              <from>
                <xdr:col>2</xdr:col>
                <xdr:colOff>0</xdr:colOff>
                <xdr:row>12</xdr:row>
                <xdr:rowOff>0</xdr:rowOff>
              </from>
              <to>
                <xdr:col>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17" r:id="rId44" name="nWNAZ19HwP"/>
      </mc:Fallback>
    </mc:AlternateContent>
    <mc:AlternateContent xmlns:mc="http://schemas.openxmlformats.org/markup-compatibility/2006">
      <mc:Choice Requires="x14">
        <control shapeId="1116" r:id="rId45" name="r0/1VlkAKs">
          <controlPr defaultSize="0" autoFill="0" autoLine="0" r:id="rId9">
            <anchor moveWithCells="1">
              <from>
                <xdr:col>21</xdr:col>
                <xdr:colOff>0</xdr:colOff>
                <xdr:row>12</xdr:row>
                <xdr:rowOff>0</xdr:rowOff>
              </from>
              <to>
                <xdr:col>22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16" r:id="rId45" name="r0/1VlkAKs"/>
      </mc:Fallback>
    </mc:AlternateContent>
    <mc:AlternateContent xmlns:mc="http://schemas.openxmlformats.org/markup-compatibility/2006">
      <mc:Choice Requires="x14">
        <control shapeId="1115" r:id="rId46" name="JomONTdEpO">
          <controlPr defaultSize="0" autoFill="0" autoLine="0" r:id="rId9">
            <anchor moveWithCells="1">
              <from>
                <xdr:col>12</xdr:col>
                <xdr:colOff>0</xdr:colOff>
                <xdr:row>12</xdr:row>
                <xdr:rowOff>0</xdr:rowOff>
              </from>
              <to>
                <xdr:col>13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15" r:id="rId46" name="JomONTdEpO"/>
      </mc:Fallback>
    </mc:AlternateContent>
    <mc:AlternateContent xmlns:mc="http://schemas.openxmlformats.org/markup-compatibility/2006">
      <mc:Choice Requires="x14">
        <control shapeId="1114" r:id="rId47" name="oYg+79hOHX">
          <controlPr defaultSize="0" autoFill="0" autoLine="0" r:id="rId9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14" r:id="rId47" name="oYg+79hOHX"/>
      </mc:Fallback>
    </mc:AlternateContent>
    <mc:AlternateContent xmlns:mc="http://schemas.openxmlformats.org/markup-compatibility/2006">
      <mc:Choice Requires="x14">
        <control shapeId="1113" r:id="rId48" name="fl4wZzh3R9">
          <controlPr defaultSize="0" autoFill="0" autoLine="0" r:id="rId15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13" r:id="rId48" name="fl4wZzh3R9"/>
      </mc:Fallback>
    </mc:AlternateContent>
    <mc:AlternateContent xmlns:mc="http://schemas.openxmlformats.org/markup-compatibility/2006">
      <mc:Choice Requires="x14">
        <control shapeId="1112" r:id="rId49" name="Bsl7mZaQQe">
          <controlPr defaultSize="0" autoFill="0" autoLine="0" r:id="rId50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112" r:id="rId49" name="Bsl7mZaQQe"/>
      </mc:Fallback>
    </mc:AlternateContent>
    <mc:AlternateContent xmlns:mc="http://schemas.openxmlformats.org/markup-compatibility/2006">
      <mc:Choice Requires="x14">
        <control shapeId="1111" r:id="rId51" name="C7thpNeAx4">
          <controlPr defaultSize="0" autoFill="0" autoLine="0" r:id="rId50">
            <anchor moveWithCells="1">
              <from>
                <xdr:col>4</xdr:col>
                <xdr:colOff>0</xdr:colOff>
                <xdr:row>4</xdr:row>
                <xdr:rowOff>0</xdr:rowOff>
              </from>
              <to>
                <xdr:col>5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111" r:id="rId51" name="C7thpNeAx4"/>
      </mc:Fallback>
    </mc:AlternateContent>
    <mc:AlternateContent xmlns:mc="http://schemas.openxmlformats.org/markup-compatibility/2006">
      <mc:Choice Requires="x14">
        <control shapeId="1110" r:id="rId52" name="3uZi7zG5cB">
          <controlPr defaultSize="0" autoFill="0" autoLine="0" r:id="rId50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110" r:id="rId52" name="3uZi7zG5cB"/>
      </mc:Fallback>
    </mc:AlternateContent>
    <mc:AlternateContent xmlns:mc="http://schemas.openxmlformats.org/markup-compatibility/2006">
      <mc:Choice Requires="x14">
        <control shapeId="1109" r:id="rId53" name="wVWwIUmqRt">
          <controlPr defaultSize="0" autoFill="0" autoLine="0" r:id="rId50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109" r:id="rId53" name="wVWwIUmq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"/>
  <sheetViews>
    <sheetView workbookViewId="0">
      <selection activeCell="F20" sqref="F20"/>
    </sheetView>
  </sheetViews>
  <sheetFormatPr defaultRowHeight="15" x14ac:dyDescent="0.25"/>
  <cols>
    <col min="5" max="5" width="45" customWidth="1"/>
  </cols>
  <sheetData>
    <row r="1" spans="1:9" x14ac:dyDescent="0.25">
      <c r="A1" s="3"/>
      <c r="B1" s="3"/>
      <c r="C1" s="3"/>
      <c r="E1" s="2"/>
      <c r="F1" s="3"/>
      <c r="G1" s="2"/>
      <c r="H1" s="2"/>
      <c r="I1" s="2"/>
    </row>
    <row r="2" spans="1:9" x14ac:dyDescent="0.25">
      <c r="A2" s="3"/>
      <c r="B2" s="3"/>
      <c r="C2" s="3"/>
      <c r="E2" s="2"/>
      <c r="F2" s="3"/>
      <c r="G2" s="2"/>
      <c r="H2" s="2"/>
      <c r="I2" s="2"/>
    </row>
    <row r="3" spans="1:9" ht="45.75" thickBot="1" x14ac:dyDescent="0.3">
      <c r="A3" s="6" t="s">
        <v>4</v>
      </c>
      <c r="B3" s="4" t="s">
        <v>6</v>
      </c>
      <c r="C3" s="4" t="s">
        <v>7</v>
      </c>
      <c r="E3" s="6" t="s">
        <v>8</v>
      </c>
      <c r="F3" s="4" t="s">
        <v>40</v>
      </c>
      <c r="G3" s="4" t="s">
        <v>39</v>
      </c>
      <c r="H3" s="4" t="s">
        <v>6</v>
      </c>
      <c r="I3" s="4" t="s">
        <v>7</v>
      </c>
    </row>
    <row r="4" spans="1:9" ht="60" x14ac:dyDescent="0.25">
      <c r="A4" s="7" t="s">
        <v>33</v>
      </c>
      <c r="B4" s="2"/>
      <c r="C4" s="2"/>
      <c r="E4" s="7" t="s">
        <v>41</v>
      </c>
      <c r="F4" s="2"/>
      <c r="G4" s="2"/>
      <c r="H4" s="2"/>
      <c r="I4" s="2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2" r:id="rId4" name="Label1">
          <controlPr defaultSize="0" disabled="1" autoLine="0" r:id="rId5">
            <anchor moveWithCells="1">
              <from>
                <xdr:col>3</xdr:col>
                <xdr:colOff>600075</xdr:colOff>
                <xdr:row>3</xdr:row>
                <xdr:rowOff>38100</xdr:rowOff>
              </from>
              <to>
                <xdr:col>4</xdr:col>
                <xdr:colOff>2981325</xdr:colOff>
                <xdr:row>4</xdr:row>
                <xdr:rowOff>0</xdr:rowOff>
              </to>
            </anchor>
          </controlPr>
        </control>
      </mc:Choice>
      <mc:Fallback>
        <control shapeId="4102" r:id="rId4" name="Label1"/>
      </mc:Fallback>
    </mc:AlternateContent>
    <mc:AlternateContent xmlns:mc="http://schemas.openxmlformats.org/markup-compatibility/2006">
      <mc:Choice Requires="x14">
        <control shapeId="4101" r:id="rId6" name="Label 1">
          <controlPr defaultSize="0" autoFill="0" autoLine="0" r:id="rId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101" r:id="rId6" name="Label 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E83"/>
  <sheetViews>
    <sheetView zoomScale="80" zoomScaleNormal="80" workbookViewId="0">
      <pane xSplit="6" ySplit="1" topLeftCell="G2" activePane="bottomRight" state="frozenSplit"/>
      <selection pane="topRight" activeCell="G1" sqref="G1"/>
      <selection pane="bottomLeft" activeCell="A2" sqref="A2"/>
      <selection pane="bottomRight" activeCell="AN10" sqref="AN10"/>
    </sheetView>
  </sheetViews>
  <sheetFormatPr defaultRowHeight="15" x14ac:dyDescent="0.25"/>
  <cols>
    <col min="1" max="1" width="22" bestFit="1" customWidth="1"/>
    <col min="2" max="2" width="13" hidden="1" customWidth="1"/>
    <col min="3" max="3" width="9.28515625" hidden="1" customWidth="1"/>
    <col min="4" max="4" width="25.7109375" bestFit="1" customWidth="1"/>
    <col min="5" max="5" width="16.5703125" hidden="1" customWidth="1"/>
    <col min="6" max="6" width="16.7109375" hidden="1" customWidth="1"/>
    <col min="7" max="7" width="28.7109375" bestFit="1" customWidth="1"/>
    <col min="8" max="8" width="27.7109375" bestFit="1" customWidth="1"/>
    <col min="9" max="9" width="3.42578125" customWidth="1"/>
    <col min="10" max="10" width="27.7109375" bestFit="1" customWidth="1"/>
    <col min="11" max="13" width="0" hidden="1" customWidth="1"/>
    <col min="14" max="14" width="7.5703125" hidden="1" customWidth="1"/>
    <col min="15" max="15" width="0" hidden="1" customWidth="1"/>
    <col min="16" max="57" width="3.42578125" customWidth="1"/>
  </cols>
  <sheetData>
    <row r="1" spans="1:57" s="9" customFormat="1" ht="131.25" x14ac:dyDescent="0.25">
      <c r="A1" s="8" t="s">
        <v>42</v>
      </c>
      <c r="B1" s="8" t="s">
        <v>43</v>
      </c>
      <c r="C1" s="8" t="s">
        <v>44</v>
      </c>
      <c r="D1" s="8" t="s">
        <v>45</v>
      </c>
      <c r="E1" s="8" t="s">
        <v>46</v>
      </c>
      <c r="F1" s="8" t="s">
        <v>47</v>
      </c>
      <c r="G1" s="8" t="s">
        <v>48</v>
      </c>
      <c r="H1" s="8" t="s">
        <v>49</v>
      </c>
      <c r="I1" s="8"/>
      <c r="J1" s="10" t="s">
        <v>29</v>
      </c>
      <c r="K1" s="9" t="s">
        <v>30</v>
      </c>
      <c r="M1" s="9" t="s">
        <v>31</v>
      </c>
      <c r="N1" s="9" t="s">
        <v>32</v>
      </c>
      <c r="P1" s="9" t="str">
        <f t="array" ref="P1:BE1">TRANSPOSE(J2:J43)</f>
        <v>Product Data</v>
      </c>
      <c r="Q1" s="9" t="str">
        <v>Stock Data</v>
      </c>
      <c r="R1" s="9" t="str">
        <v>Product Data initial sales</v>
      </c>
      <c r="S1" s="9" t="str">
        <v>Stock Data Re-order Point</v>
      </c>
      <c r="T1" s="9" t="str">
        <v>Product Data final sales</v>
      </c>
      <c r="U1" s="9" t="str">
        <v>Stock Data MOQ</v>
      </c>
      <c r="V1" s="9" t="str">
        <v>Product Data time const</v>
      </c>
      <c r="W1" s="9" t="str">
        <v>Stock Data Target Stock</v>
      </c>
      <c r="X1" s="9" t="str">
        <v>Budget COS</v>
      </c>
      <c r="Y1" s="9" t="str">
        <v>Budget COS n-1</v>
      </c>
      <c r="Z1" s="9" t="str">
        <v>Budget COS n</v>
      </c>
      <c r="AA1" s="9" t="str">
        <v>ROP (re-order ppoint)</v>
      </c>
      <c r="AB1" s="9" t="str">
        <v>ROP (re-order ppoint) n</v>
      </c>
      <c r="AC1" s="9" t="str">
        <v>Proposed COS</v>
      </c>
      <c r="AD1" s="9" t="str">
        <v>Proposed COS n-1</v>
      </c>
      <c r="AE1" s="9" t="str">
        <v>Proposed COS n</v>
      </c>
      <c r="AF1" s="9" t="str">
        <v>Proposed Stock Purchase</v>
      </c>
      <c r="AG1" s="9" t="str">
        <v>Proposed Stock Purchase n</v>
      </c>
      <c r="AH1" s="9" t="str">
        <v>Stock Purchase</v>
      </c>
      <c r="AI1" s="9" t="str">
        <v>Stock Purchase n-1</v>
      </c>
      <c r="AJ1" s="9" t="str">
        <v>Stock Purchase n</v>
      </c>
      <c r="AK1" s="9" t="str">
        <v>Costs and provisions</v>
      </c>
      <c r="AL1" s="9" t="str">
        <v>Costs and provisions n</v>
      </c>
      <c r="AM1" s="9" t="str">
        <v>Opening stock</v>
      </c>
      <c r="AN1" s="9" t="str">
        <v>Opening stock n-3</v>
      </c>
      <c r="AO1" s="9" t="str">
        <v>Opening stock n-2</v>
      </c>
      <c r="AP1" s="9" t="str">
        <v>Opening stock n-1</v>
      </c>
      <c r="AQ1" s="9" t="str">
        <v>Opening stock n</v>
      </c>
      <c r="AR1" s="9" t="str">
        <v>Actual COS</v>
      </c>
      <c r="AS1" s="9" t="str">
        <v>Actual COS n-3</v>
      </c>
      <c r="AT1" s="9" t="str">
        <v>Actual COS n-2</v>
      </c>
      <c r="AU1" s="9" t="str">
        <v>Actual COS n-1</v>
      </c>
      <c r="AV1" s="9" t="str">
        <v>Actual COS n</v>
      </c>
      <c r="AW1" s="9" t="str">
        <v>Reserves</v>
      </c>
      <c r="AX1" s="9" t="str">
        <v>Reserves n-1</v>
      </c>
      <c r="AY1" s="9" t="str">
        <v>Reserves n</v>
      </c>
      <c r="AZ1" s="9" t="str">
        <v>Actual Sales</v>
      </c>
      <c r="BA1" s="9" t="str">
        <v>Actual Sales n</v>
      </c>
      <c r="BB1" s="9" t="str">
        <v>Weeks stock on hand</v>
      </c>
      <c r="BC1" s="9" t="str">
        <v>Weeks stock on hand n</v>
      </c>
      <c r="BD1" s="9" t="str">
        <v>Available cash</v>
      </c>
      <c r="BE1" s="9" t="str">
        <v>Available cash n</v>
      </c>
    </row>
    <row r="2" spans="1:57" x14ac:dyDescent="0.25">
      <c r="A2" t="s">
        <v>154</v>
      </c>
      <c r="B2">
        <v>24</v>
      </c>
      <c r="C2">
        <v>0</v>
      </c>
      <c r="D2" t="s">
        <v>5</v>
      </c>
      <c r="E2">
        <v>24</v>
      </c>
      <c r="F2">
        <v>0</v>
      </c>
      <c r="J2" t="str">
        <f>D2</f>
        <v>Product Data</v>
      </c>
      <c r="M2">
        <f t="shared" ref="M2:M33" si="0">IF(B2&lt;&gt;"",SQRT(B2^2+C2^2),"")</f>
        <v>24</v>
      </c>
      <c r="N2" s="1">
        <f t="shared" ref="N2:N33" si="1">IFERROR(SQRT((B2-E2)^2+(C2-F2)^2)/M2,"")</f>
        <v>0</v>
      </c>
      <c r="P2" s="11">
        <f t="shared" ref="P2:Y11" si="2">COUNTIFS($G$44:$G$78,$J2,$H$44:$H$78,P$1)</f>
        <v>0</v>
      </c>
      <c r="Q2" s="12">
        <f t="shared" si="2"/>
        <v>0</v>
      </c>
      <c r="R2" s="12">
        <f t="shared" si="2"/>
        <v>0</v>
      </c>
      <c r="S2" s="12">
        <f t="shared" si="2"/>
        <v>0</v>
      </c>
      <c r="T2" s="12">
        <f t="shared" si="2"/>
        <v>0</v>
      </c>
      <c r="U2" s="12">
        <f t="shared" si="2"/>
        <v>0</v>
      </c>
      <c r="V2" s="12">
        <f t="shared" si="2"/>
        <v>0</v>
      </c>
      <c r="W2" s="12">
        <f t="shared" si="2"/>
        <v>0</v>
      </c>
      <c r="X2" s="12">
        <f t="shared" si="2"/>
        <v>0</v>
      </c>
      <c r="Y2" s="12">
        <f t="shared" si="2"/>
        <v>0</v>
      </c>
      <c r="Z2" s="12">
        <f t="shared" ref="Z2:AI11" si="3">COUNTIFS($G$44:$G$78,$J2,$H$44:$H$78,Z$1)</f>
        <v>0</v>
      </c>
      <c r="AA2" s="12">
        <f t="shared" si="3"/>
        <v>0</v>
      </c>
      <c r="AB2" s="12">
        <f t="shared" si="3"/>
        <v>0</v>
      </c>
      <c r="AC2" s="12">
        <f t="shared" si="3"/>
        <v>0</v>
      </c>
      <c r="AD2" s="12">
        <f t="shared" si="3"/>
        <v>0</v>
      </c>
      <c r="AE2" s="12">
        <f t="shared" si="3"/>
        <v>0</v>
      </c>
      <c r="AF2" s="12">
        <f t="shared" si="3"/>
        <v>0</v>
      </c>
      <c r="AG2" s="12">
        <f t="shared" si="3"/>
        <v>0</v>
      </c>
      <c r="AH2" s="12">
        <f t="shared" si="3"/>
        <v>0</v>
      </c>
      <c r="AI2" s="12">
        <f t="shared" si="3"/>
        <v>0</v>
      </c>
      <c r="AJ2" s="12">
        <f t="shared" ref="AJ2:AS11" si="4">COUNTIFS($G$44:$G$78,$J2,$H$44:$H$78,AJ$1)</f>
        <v>0</v>
      </c>
      <c r="AK2" s="12">
        <f t="shared" si="4"/>
        <v>0</v>
      </c>
      <c r="AL2" s="12">
        <f t="shared" si="4"/>
        <v>0</v>
      </c>
      <c r="AM2" s="12">
        <f t="shared" si="4"/>
        <v>0</v>
      </c>
      <c r="AN2" s="12">
        <f t="shared" si="4"/>
        <v>0</v>
      </c>
      <c r="AO2" s="12">
        <f t="shared" si="4"/>
        <v>0</v>
      </c>
      <c r="AP2" s="12">
        <f t="shared" si="4"/>
        <v>0</v>
      </c>
      <c r="AQ2" s="12">
        <f t="shared" si="4"/>
        <v>0</v>
      </c>
      <c r="AR2" s="12">
        <f t="shared" si="4"/>
        <v>0</v>
      </c>
      <c r="AS2" s="12">
        <f t="shared" si="4"/>
        <v>0</v>
      </c>
      <c r="AT2" s="12">
        <f t="shared" ref="AT2:BE11" si="5">COUNTIFS($G$44:$G$78,$J2,$H$44:$H$78,AT$1)</f>
        <v>0</v>
      </c>
      <c r="AU2" s="12">
        <f t="shared" si="5"/>
        <v>0</v>
      </c>
      <c r="AV2" s="12">
        <f t="shared" si="5"/>
        <v>0</v>
      </c>
      <c r="AW2" s="12">
        <f t="shared" si="5"/>
        <v>0</v>
      </c>
      <c r="AX2" s="12">
        <f t="shared" si="5"/>
        <v>0</v>
      </c>
      <c r="AY2" s="12">
        <f t="shared" si="5"/>
        <v>0</v>
      </c>
      <c r="AZ2" s="12">
        <f t="shared" si="5"/>
        <v>0</v>
      </c>
      <c r="BA2" s="12">
        <f t="shared" si="5"/>
        <v>0</v>
      </c>
      <c r="BB2" s="12">
        <f t="shared" si="5"/>
        <v>0</v>
      </c>
      <c r="BC2" s="12">
        <f t="shared" si="5"/>
        <v>0</v>
      </c>
      <c r="BD2" s="12">
        <f t="shared" si="5"/>
        <v>0</v>
      </c>
      <c r="BE2" s="13">
        <f t="shared" si="5"/>
        <v>0</v>
      </c>
    </row>
    <row r="3" spans="1:57" x14ac:dyDescent="0.25">
      <c r="A3" t="s">
        <v>155</v>
      </c>
      <c r="B3">
        <v>24</v>
      </c>
      <c r="C3">
        <v>220.5</v>
      </c>
      <c r="D3" t="s">
        <v>150</v>
      </c>
      <c r="E3">
        <v>24</v>
      </c>
      <c r="F3">
        <v>220.5</v>
      </c>
      <c r="J3" t="str">
        <f t="shared" ref="J3:J43" si="6">D3</f>
        <v>Stock Data</v>
      </c>
      <c r="M3">
        <f t="shared" si="0"/>
        <v>221.8022768142834</v>
      </c>
      <c r="N3" s="1">
        <f t="shared" si="1"/>
        <v>0</v>
      </c>
      <c r="P3" s="14">
        <f t="shared" si="2"/>
        <v>0</v>
      </c>
      <c r="Q3" s="15">
        <f t="shared" si="2"/>
        <v>0</v>
      </c>
      <c r="R3" s="15">
        <f t="shared" si="2"/>
        <v>0</v>
      </c>
      <c r="S3" s="15">
        <f t="shared" si="2"/>
        <v>0</v>
      </c>
      <c r="T3" s="15">
        <f t="shared" si="2"/>
        <v>0</v>
      </c>
      <c r="U3" s="15">
        <f t="shared" si="2"/>
        <v>0</v>
      </c>
      <c r="V3" s="15">
        <f t="shared" si="2"/>
        <v>0</v>
      </c>
      <c r="W3" s="15">
        <f t="shared" si="2"/>
        <v>0</v>
      </c>
      <c r="X3" s="15">
        <f t="shared" si="2"/>
        <v>0</v>
      </c>
      <c r="Y3" s="15">
        <f t="shared" si="2"/>
        <v>0</v>
      </c>
      <c r="Z3" s="15">
        <f t="shared" si="3"/>
        <v>0</v>
      </c>
      <c r="AA3" s="15">
        <f t="shared" si="3"/>
        <v>0</v>
      </c>
      <c r="AB3" s="15">
        <f t="shared" si="3"/>
        <v>0</v>
      </c>
      <c r="AC3" s="15">
        <f t="shared" si="3"/>
        <v>0</v>
      </c>
      <c r="AD3" s="15">
        <f t="shared" si="3"/>
        <v>0</v>
      </c>
      <c r="AE3" s="15">
        <f t="shared" si="3"/>
        <v>0</v>
      </c>
      <c r="AF3" s="15">
        <f t="shared" si="3"/>
        <v>0</v>
      </c>
      <c r="AG3" s="15">
        <f t="shared" si="3"/>
        <v>0</v>
      </c>
      <c r="AH3" s="15">
        <f t="shared" si="3"/>
        <v>0</v>
      </c>
      <c r="AI3" s="15">
        <f t="shared" si="3"/>
        <v>0</v>
      </c>
      <c r="AJ3" s="15">
        <f t="shared" si="4"/>
        <v>0</v>
      </c>
      <c r="AK3" s="15">
        <f t="shared" si="4"/>
        <v>0</v>
      </c>
      <c r="AL3" s="15">
        <f t="shared" si="4"/>
        <v>0</v>
      </c>
      <c r="AM3" s="15">
        <f t="shared" si="4"/>
        <v>0</v>
      </c>
      <c r="AN3" s="15">
        <f t="shared" si="4"/>
        <v>0</v>
      </c>
      <c r="AO3" s="15">
        <f t="shared" si="4"/>
        <v>0</v>
      </c>
      <c r="AP3" s="15">
        <f t="shared" si="4"/>
        <v>0</v>
      </c>
      <c r="AQ3" s="15">
        <f t="shared" si="4"/>
        <v>0</v>
      </c>
      <c r="AR3" s="15">
        <f t="shared" si="4"/>
        <v>0</v>
      </c>
      <c r="AS3" s="15">
        <f t="shared" si="4"/>
        <v>0</v>
      </c>
      <c r="AT3" s="15">
        <f t="shared" si="5"/>
        <v>0</v>
      </c>
      <c r="AU3" s="15">
        <f t="shared" si="5"/>
        <v>0</v>
      </c>
      <c r="AV3" s="15">
        <f t="shared" si="5"/>
        <v>0</v>
      </c>
      <c r="AW3" s="15">
        <f t="shared" si="5"/>
        <v>0</v>
      </c>
      <c r="AX3" s="15">
        <f t="shared" si="5"/>
        <v>0</v>
      </c>
      <c r="AY3" s="15">
        <f t="shared" si="5"/>
        <v>0</v>
      </c>
      <c r="AZ3" s="15">
        <f t="shared" si="5"/>
        <v>0</v>
      </c>
      <c r="BA3" s="15">
        <f t="shared" si="5"/>
        <v>0</v>
      </c>
      <c r="BB3" s="15">
        <f t="shared" si="5"/>
        <v>0</v>
      </c>
      <c r="BC3" s="15">
        <f t="shared" si="5"/>
        <v>0</v>
      </c>
      <c r="BD3" s="15">
        <f t="shared" si="5"/>
        <v>0</v>
      </c>
      <c r="BE3" s="16">
        <f t="shared" si="5"/>
        <v>0</v>
      </c>
    </row>
    <row r="4" spans="1:57" x14ac:dyDescent="0.25">
      <c r="A4" t="s">
        <v>87</v>
      </c>
      <c r="B4">
        <v>39</v>
      </c>
      <c r="C4">
        <v>0</v>
      </c>
      <c r="D4" t="s">
        <v>94</v>
      </c>
      <c r="E4">
        <v>39</v>
      </c>
      <c r="F4">
        <v>0</v>
      </c>
      <c r="J4" t="str">
        <f t="shared" si="6"/>
        <v>Product Data initial sales</v>
      </c>
      <c r="M4">
        <f t="shared" si="0"/>
        <v>39</v>
      </c>
      <c r="N4" s="1">
        <f t="shared" si="1"/>
        <v>0</v>
      </c>
      <c r="P4" s="14">
        <f t="shared" si="2"/>
        <v>0</v>
      </c>
      <c r="Q4" s="15">
        <f t="shared" si="2"/>
        <v>0</v>
      </c>
      <c r="R4" s="15">
        <f t="shared" si="2"/>
        <v>0</v>
      </c>
      <c r="S4" s="15">
        <f t="shared" si="2"/>
        <v>0</v>
      </c>
      <c r="T4" s="15">
        <f t="shared" si="2"/>
        <v>0</v>
      </c>
      <c r="U4" s="15">
        <f t="shared" si="2"/>
        <v>0</v>
      </c>
      <c r="V4" s="15">
        <f t="shared" si="2"/>
        <v>0</v>
      </c>
      <c r="W4" s="15">
        <f t="shared" si="2"/>
        <v>0</v>
      </c>
      <c r="X4" s="15">
        <f t="shared" si="2"/>
        <v>0</v>
      </c>
      <c r="Y4" s="15">
        <f t="shared" si="2"/>
        <v>0</v>
      </c>
      <c r="Z4" s="15">
        <f t="shared" si="3"/>
        <v>0</v>
      </c>
      <c r="AA4" s="15">
        <f t="shared" si="3"/>
        <v>0</v>
      </c>
      <c r="AB4" s="15">
        <f t="shared" si="3"/>
        <v>0</v>
      </c>
      <c r="AC4" s="15">
        <f t="shared" si="3"/>
        <v>0</v>
      </c>
      <c r="AD4" s="15">
        <f t="shared" si="3"/>
        <v>0</v>
      </c>
      <c r="AE4" s="15">
        <f t="shared" si="3"/>
        <v>0</v>
      </c>
      <c r="AF4" s="15">
        <f t="shared" si="3"/>
        <v>0</v>
      </c>
      <c r="AG4" s="15">
        <f t="shared" si="3"/>
        <v>0</v>
      </c>
      <c r="AH4" s="15">
        <f t="shared" si="3"/>
        <v>0</v>
      </c>
      <c r="AI4" s="15">
        <f t="shared" si="3"/>
        <v>0</v>
      </c>
      <c r="AJ4" s="15">
        <f t="shared" si="4"/>
        <v>0</v>
      </c>
      <c r="AK4" s="15">
        <f t="shared" si="4"/>
        <v>0</v>
      </c>
      <c r="AL4" s="15">
        <f t="shared" si="4"/>
        <v>0</v>
      </c>
      <c r="AM4" s="15">
        <f t="shared" si="4"/>
        <v>0</v>
      </c>
      <c r="AN4" s="15">
        <f t="shared" si="4"/>
        <v>0</v>
      </c>
      <c r="AO4" s="15">
        <f t="shared" si="4"/>
        <v>0</v>
      </c>
      <c r="AP4" s="15">
        <f t="shared" si="4"/>
        <v>0</v>
      </c>
      <c r="AQ4" s="15">
        <f t="shared" si="4"/>
        <v>0</v>
      </c>
      <c r="AR4" s="15">
        <f t="shared" si="4"/>
        <v>0</v>
      </c>
      <c r="AS4" s="15">
        <f t="shared" si="4"/>
        <v>0</v>
      </c>
      <c r="AT4" s="15">
        <f t="shared" si="5"/>
        <v>0</v>
      </c>
      <c r="AU4" s="15">
        <f t="shared" si="5"/>
        <v>0</v>
      </c>
      <c r="AV4" s="15">
        <f t="shared" si="5"/>
        <v>0</v>
      </c>
      <c r="AW4" s="15">
        <f t="shared" si="5"/>
        <v>0</v>
      </c>
      <c r="AX4" s="15">
        <f t="shared" si="5"/>
        <v>0</v>
      </c>
      <c r="AY4" s="15">
        <f t="shared" si="5"/>
        <v>0</v>
      </c>
      <c r="AZ4" s="15">
        <f t="shared" si="5"/>
        <v>0</v>
      </c>
      <c r="BA4" s="15">
        <f t="shared" si="5"/>
        <v>0</v>
      </c>
      <c r="BB4" s="15">
        <f t="shared" si="5"/>
        <v>0</v>
      </c>
      <c r="BC4" s="15">
        <f t="shared" si="5"/>
        <v>0</v>
      </c>
      <c r="BD4" s="15">
        <f t="shared" si="5"/>
        <v>0</v>
      </c>
      <c r="BE4" s="16">
        <f t="shared" si="5"/>
        <v>0</v>
      </c>
    </row>
    <row r="5" spans="1:57" x14ac:dyDescent="0.25">
      <c r="A5" t="s">
        <v>95</v>
      </c>
      <c r="B5">
        <v>39</v>
      </c>
      <c r="C5">
        <v>220.5</v>
      </c>
      <c r="D5" t="s">
        <v>151</v>
      </c>
      <c r="E5">
        <v>39</v>
      </c>
      <c r="F5">
        <v>220.5</v>
      </c>
      <c r="J5" t="str">
        <f t="shared" si="6"/>
        <v>Stock Data Re-order Point</v>
      </c>
      <c r="M5">
        <f t="shared" si="0"/>
        <v>223.92241960107523</v>
      </c>
      <c r="N5" s="1">
        <f t="shared" si="1"/>
        <v>0</v>
      </c>
      <c r="P5" s="14">
        <f t="shared" si="2"/>
        <v>0</v>
      </c>
      <c r="Q5" s="15">
        <f t="shared" si="2"/>
        <v>0</v>
      </c>
      <c r="R5" s="15">
        <f t="shared" si="2"/>
        <v>0</v>
      </c>
      <c r="S5" s="15">
        <f t="shared" si="2"/>
        <v>0</v>
      </c>
      <c r="T5" s="15">
        <f t="shared" si="2"/>
        <v>0</v>
      </c>
      <c r="U5" s="15">
        <f t="shared" si="2"/>
        <v>0</v>
      </c>
      <c r="V5" s="15">
        <f t="shared" si="2"/>
        <v>0</v>
      </c>
      <c r="W5" s="15">
        <f t="shared" si="2"/>
        <v>0</v>
      </c>
      <c r="X5" s="15">
        <f t="shared" si="2"/>
        <v>0</v>
      </c>
      <c r="Y5" s="15">
        <f t="shared" si="2"/>
        <v>0</v>
      </c>
      <c r="Z5" s="15">
        <f t="shared" si="3"/>
        <v>0</v>
      </c>
      <c r="AA5" s="15">
        <f t="shared" si="3"/>
        <v>0</v>
      </c>
      <c r="AB5" s="15">
        <f t="shared" si="3"/>
        <v>0</v>
      </c>
      <c r="AC5" s="15">
        <f t="shared" si="3"/>
        <v>0</v>
      </c>
      <c r="AD5" s="15">
        <f t="shared" si="3"/>
        <v>0</v>
      </c>
      <c r="AE5" s="15">
        <f t="shared" si="3"/>
        <v>0</v>
      </c>
      <c r="AF5" s="15">
        <f t="shared" si="3"/>
        <v>0</v>
      </c>
      <c r="AG5" s="15">
        <f t="shared" si="3"/>
        <v>0</v>
      </c>
      <c r="AH5" s="15">
        <f t="shared" si="3"/>
        <v>0</v>
      </c>
      <c r="AI5" s="15">
        <f t="shared" si="3"/>
        <v>0</v>
      </c>
      <c r="AJ5" s="15">
        <f t="shared" si="4"/>
        <v>0</v>
      </c>
      <c r="AK5" s="15">
        <f t="shared" si="4"/>
        <v>0</v>
      </c>
      <c r="AL5" s="15">
        <f t="shared" si="4"/>
        <v>0</v>
      </c>
      <c r="AM5" s="15">
        <f t="shared" si="4"/>
        <v>0</v>
      </c>
      <c r="AN5" s="15">
        <f t="shared" si="4"/>
        <v>0</v>
      </c>
      <c r="AO5" s="15">
        <f t="shared" si="4"/>
        <v>0</v>
      </c>
      <c r="AP5" s="15">
        <f t="shared" si="4"/>
        <v>0</v>
      </c>
      <c r="AQ5" s="15">
        <f t="shared" si="4"/>
        <v>0</v>
      </c>
      <c r="AR5" s="15">
        <f t="shared" si="4"/>
        <v>0</v>
      </c>
      <c r="AS5" s="15">
        <f t="shared" si="4"/>
        <v>0</v>
      </c>
      <c r="AT5" s="15">
        <f t="shared" si="5"/>
        <v>0</v>
      </c>
      <c r="AU5" s="15">
        <f t="shared" si="5"/>
        <v>0</v>
      </c>
      <c r="AV5" s="15">
        <f t="shared" si="5"/>
        <v>0</v>
      </c>
      <c r="AW5" s="15">
        <f t="shared" si="5"/>
        <v>0</v>
      </c>
      <c r="AX5" s="15">
        <f t="shared" si="5"/>
        <v>0</v>
      </c>
      <c r="AY5" s="15">
        <f t="shared" si="5"/>
        <v>0</v>
      </c>
      <c r="AZ5" s="15">
        <f t="shared" si="5"/>
        <v>0</v>
      </c>
      <c r="BA5" s="15">
        <f t="shared" si="5"/>
        <v>0</v>
      </c>
      <c r="BB5" s="15">
        <f t="shared" si="5"/>
        <v>0</v>
      </c>
      <c r="BC5" s="15">
        <f t="shared" si="5"/>
        <v>0</v>
      </c>
      <c r="BD5" s="15">
        <f t="shared" si="5"/>
        <v>0</v>
      </c>
      <c r="BE5" s="16">
        <f t="shared" si="5"/>
        <v>0</v>
      </c>
    </row>
    <row r="6" spans="1:57" x14ac:dyDescent="0.25">
      <c r="A6" t="s">
        <v>85</v>
      </c>
      <c r="B6">
        <v>54</v>
      </c>
      <c r="C6">
        <v>0</v>
      </c>
      <c r="D6" t="s">
        <v>92</v>
      </c>
      <c r="E6">
        <v>54</v>
      </c>
      <c r="F6">
        <v>0</v>
      </c>
      <c r="J6" t="str">
        <f t="shared" si="6"/>
        <v>Product Data final sales</v>
      </c>
      <c r="M6">
        <f t="shared" si="0"/>
        <v>54</v>
      </c>
      <c r="N6" s="1">
        <f t="shared" si="1"/>
        <v>0</v>
      </c>
      <c r="P6" s="14">
        <f t="shared" si="2"/>
        <v>0</v>
      </c>
      <c r="Q6" s="15">
        <f t="shared" si="2"/>
        <v>0</v>
      </c>
      <c r="R6" s="15">
        <f t="shared" si="2"/>
        <v>0</v>
      </c>
      <c r="S6" s="15">
        <f t="shared" si="2"/>
        <v>0</v>
      </c>
      <c r="T6" s="15">
        <f t="shared" si="2"/>
        <v>0</v>
      </c>
      <c r="U6" s="15">
        <f t="shared" si="2"/>
        <v>0</v>
      </c>
      <c r="V6" s="15">
        <f t="shared" si="2"/>
        <v>0</v>
      </c>
      <c r="W6" s="15">
        <f t="shared" si="2"/>
        <v>0</v>
      </c>
      <c r="X6" s="15">
        <f t="shared" si="2"/>
        <v>0</v>
      </c>
      <c r="Y6" s="15">
        <f t="shared" si="2"/>
        <v>0</v>
      </c>
      <c r="Z6" s="15">
        <f t="shared" si="3"/>
        <v>0</v>
      </c>
      <c r="AA6" s="15">
        <f t="shared" si="3"/>
        <v>0</v>
      </c>
      <c r="AB6" s="15">
        <f t="shared" si="3"/>
        <v>0</v>
      </c>
      <c r="AC6" s="15">
        <f t="shared" si="3"/>
        <v>0</v>
      </c>
      <c r="AD6" s="15">
        <f t="shared" si="3"/>
        <v>0</v>
      </c>
      <c r="AE6" s="15">
        <f t="shared" si="3"/>
        <v>0</v>
      </c>
      <c r="AF6" s="15">
        <f t="shared" si="3"/>
        <v>0</v>
      </c>
      <c r="AG6" s="15">
        <f t="shared" si="3"/>
        <v>0</v>
      </c>
      <c r="AH6" s="15">
        <f t="shared" si="3"/>
        <v>0</v>
      </c>
      <c r="AI6" s="15">
        <f t="shared" si="3"/>
        <v>0</v>
      </c>
      <c r="AJ6" s="15">
        <f t="shared" si="4"/>
        <v>0</v>
      </c>
      <c r="AK6" s="15">
        <f t="shared" si="4"/>
        <v>0</v>
      </c>
      <c r="AL6" s="15">
        <f t="shared" si="4"/>
        <v>0</v>
      </c>
      <c r="AM6" s="15">
        <f t="shared" si="4"/>
        <v>0</v>
      </c>
      <c r="AN6" s="15">
        <f t="shared" si="4"/>
        <v>0</v>
      </c>
      <c r="AO6" s="15">
        <f t="shared" si="4"/>
        <v>0</v>
      </c>
      <c r="AP6" s="15">
        <f t="shared" si="4"/>
        <v>0</v>
      </c>
      <c r="AQ6" s="15">
        <f t="shared" si="4"/>
        <v>0</v>
      </c>
      <c r="AR6" s="15">
        <f t="shared" si="4"/>
        <v>0</v>
      </c>
      <c r="AS6" s="15">
        <f t="shared" si="4"/>
        <v>0</v>
      </c>
      <c r="AT6" s="15">
        <f t="shared" si="5"/>
        <v>0</v>
      </c>
      <c r="AU6" s="15">
        <f t="shared" si="5"/>
        <v>0</v>
      </c>
      <c r="AV6" s="15">
        <f t="shared" si="5"/>
        <v>0</v>
      </c>
      <c r="AW6" s="15">
        <f t="shared" si="5"/>
        <v>0</v>
      </c>
      <c r="AX6" s="15">
        <f t="shared" si="5"/>
        <v>0</v>
      </c>
      <c r="AY6" s="15">
        <f t="shared" si="5"/>
        <v>0</v>
      </c>
      <c r="AZ6" s="15">
        <f t="shared" si="5"/>
        <v>0</v>
      </c>
      <c r="BA6" s="15">
        <f t="shared" si="5"/>
        <v>0</v>
      </c>
      <c r="BB6" s="15">
        <f t="shared" si="5"/>
        <v>0</v>
      </c>
      <c r="BC6" s="15">
        <f t="shared" si="5"/>
        <v>0</v>
      </c>
      <c r="BD6" s="15">
        <f t="shared" si="5"/>
        <v>0</v>
      </c>
      <c r="BE6" s="16">
        <f t="shared" si="5"/>
        <v>0</v>
      </c>
    </row>
    <row r="7" spans="1:57" x14ac:dyDescent="0.25">
      <c r="A7" t="s">
        <v>128</v>
      </c>
      <c r="B7">
        <v>54</v>
      </c>
      <c r="C7">
        <v>220.5</v>
      </c>
      <c r="D7" t="s">
        <v>153</v>
      </c>
      <c r="E7">
        <v>54</v>
      </c>
      <c r="F7">
        <v>220.5</v>
      </c>
      <c r="J7" t="str">
        <f t="shared" si="6"/>
        <v>Stock Data MOQ</v>
      </c>
      <c r="M7">
        <f t="shared" si="0"/>
        <v>227.01596860132989</v>
      </c>
      <c r="N7" s="1">
        <f t="shared" si="1"/>
        <v>0</v>
      </c>
      <c r="P7" s="14">
        <f t="shared" si="2"/>
        <v>0</v>
      </c>
      <c r="Q7" s="15">
        <f t="shared" si="2"/>
        <v>0</v>
      </c>
      <c r="R7" s="15">
        <f t="shared" si="2"/>
        <v>0</v>
      </c>
      <c r="S7" s="15">
        <f t="shared" si="2"/>
        <v>0</v>
      </c>
      <c r="T7" s="15">
        <f t="shared" si="2"/>
        <v>0</v>
      </c>
      <c r="U7" s="15">
        <f t="shared" si="2"/>
        <v>0</v>
      </c>
      <c r="V7" s="15">
        <f t="shared" si="2"/>
        <v>0</v>
      </c>
      <c r="W7" s="15">
        <f t="shared" si="2"/>
        <v>0</v>
      </c>
      <c r="X7" s="15">
        <f t="shared" si="2"/>
        <v>0</v>
      </c>
      <c r="Y7" s="15">
        <f t="shared" si="2"/>
        <v>0</v>
      </c>
      <c r="Z7" s="15">
        <f t="shared" si="3"/>
        <v>0</v>
      </c>
      <c r="AA7" s="15">
        <f t="shared" si="3"/>
        <v>0</v>
      </c>
      <c r="AB7" s="15">
        <f t="shared" si="3"/>
        <v>0</v>
      </c>
      <c r="AC7" s="15">
        <f t="shared" si="3"/>
        <v>0</v>
      </c>
      <c r="AD7" s="15">
        <f t="shared" si="3"/>
        <v>0</v>
      </c>
      <c r="AE7" s="15">
        <f t="shared" si="3"/>
        <v>0</v>
      </c>
      <c r="AF7" s="15">
        <f t="shared" si="3"/>
        <v>0</v>
      </c>
      <c r="AG7" s="15">
        <f t="shared" si="3"/>
        <v>0</v>
      </c>
      <c r="AH7" s="15">
        <f t="shared" si="3"/>
        <v>0</v>
      </c>
      <c r="AI7" s="15">
        <f t="shared" si="3"/>
        <v>0</v>
      </c>
      <c r="AJ7" s="15">
        <f t="shared" si="4"/>
        <v>0</v>
      </c>
      <c r="AK7" s="15">
        <f t="shared" si="4"/>
        <v>0</v>
      </c>
      <c r="AL7" s="15">
        <f t="shared" si="4"/>
        <v>0</v>
      </c>
      <c r="AM7" s="15">
        <f t="shared" si="4"/>
        <v>0</v>
      </c>
      <c r="AN7" s="15">
        <f t="shared" si="4"/>
        <v>0</v>
      </c>
      <c r="AO7" s="15">
        <f t="shared" si="4"/>
        <v>0</v>
      </c>
      <c r="AP7" s="15">
        <f t="shared" si="4"/>
        <v>0</v>
      </c>
      <c r="AQ7" s="15">
        <f t="shared" si="4"/>
        <v>0</v>
      </c>
      <c r="AR7" s="15">
        <f t="shared" si="4"/>
        <v>0</v>
      </c>
      <c r="AS7" s="15">
        <f t="shared" si="4"/>
        <v>0</v>
      </c>
      <c r="AT7" s="15">
        <f t="shared" si="5"/>
        <v>0</v>
      </c>
      <c r="AU7" s="15">
        <f t="shared" si="5"/>
        <v>0</v>
      </c>
      <c r="AV7" s="15">
        <f t="shared" si="5"/>
        <v>0</v>
      </c>
      <c r="AW7" s="15">
        <f t="shared" si="5"/>
        <v>0</v>
      </c>
      <c r="AX7" s="15">
        <f t="shared" si="5"/>
        <v>0</v>
      </c>
      <c r="AY7" s="15">
        <f t="shared" si="5"/>
        <v>0</v>
      </c>
      <c r="AZ7" s="15">
        <f t="shared" si="5"/>
        <v>0</v>
      </c>
      <c r="BA7" s="15">
        <f t="shared" si="5"/>
        <v>0</v>
      </c>
      <c r="BB7" s="15">
        <f t="shared" si="5"/>
        <v>0</v>
      </c>
      <c r="BC7" s="15">
        <f t="shared" si="5"/>
        <v>0</v>
      </c>
      <c r="BD7" s="15">
        <f t="shared" si="5"/>
        <v>0</v>
      </c>
      <c r="BE7" s="16">
        <f t="shared" si="5"/>
        <v>0</v>
      </c>
    </row>
    <row r="8" spans="1:57" x14ac:dyDescent="0.25">
      <c r="A8" t="s">
        <v>86</v>
      </c>
      <c r="B8">
        <v>69</v>
      </c>
      <c r="C8">
        <v>0</v>
      </c>
      <c r="D8" t="s">
        <v>89</v>
      </c>
      <c r="E8">
        <v>69</v>
      </c>
      <c r="F8">
        <v>0</v>
      </c>
      <c r="J8" t="str">
        <f t="shared" si="6"/>
        <v>Product Data time const</v>
      </c>
      <c r="M8">
        <f t="shared" si="0"/>
        <v>69</v>
      </c>
      <c r="N8" s="1">
        <f t="shared" si="1"/>
        <v>0</v>
      </c>
      <c r="P8" s="14">
        <f t="shared" si="2"/>
        <v>0</v>
      </c>
      <c r="Q8" s="15">
        <f t="shared" si="2"/>
        <v>0</v>
      </c>
      <c r="R8" s="15">
        <f t="shared" si="2"/>
        <v>0</v>
      </c>
      <c r="S8" s="15">
        <f t="shared" si="2"/>
        <v>0</v>
      </c>
      <c r="T8" s="15">
        <f t="shared" si="2"/>
        <v>0</v>
      </c>
      <c r="U8" s="15">
        <f t="shared" si="2"/>
        <v>0</v>
      </c>
      <c r="V8" s="15">
        <f t="shared" si="2"/>
        <v>0</v>
      </c>
      <c r="W8" s="15">
        <f t="shared" si="2"/>
        <v>0</v>
      </c>
      <c r="X8" s="15">
        <f t="shared" si="2"/>
        <v>0</v>
      </c>
      <c r="Y8" s="15">
        <f t="shared" si="2"/>
        <v>0</v>
      </c>
      <c r="Z8" s="15">
        <f t="shared" si="3"/>
        <v>0</v>
      </c>
      <c r="AA8" s="15">
        <f t="shared" si="3"/>
        <v>0</v>
      </c>
      <c r="AB8" s="15">
        <f t="shared" si="3"/>
        <v>0</v>
      </c>
      <c r="AC8" s="15">
        <f t="shared" si="3"/>
        <v>0</v>
      </c>
      <c r="AD8" s="15">
        <f t="shared" si="3"/>
        <v>0</v>
      </c>
      <c r="AE8" s="15">
        <f t="shared" si="3"/>
        <v>0</v>
      </c>
      <c r="AF8" s="15">
        <f t="shared" si="3"/>
        <v>0</v>
      </c>
      <c r="AG8" s="15">
        <f t="shared" si="3"/>
        <v>0</v>
      </c>
      <c r="AH8" s="15">
        <f t="shared" si="3"/>
        <v>0</v>
      </c>
      <c r="AI8" s="15">
        <f t="shared" si="3"/>
        <v>0</v>
      </c>
      <c r="AJ8" s="15">
        <f t="shared" si="4"/>
        <v>0</v>
      </c>
      <c r="AK8" s="15">
        <f t="shared" si="4"/>
        <v>0</v>
      </c>
      <c r="AL8" s="15">
        <f t="shared" si="4"/>
        <v>0</v>
      </c>
      <c r="AM8" s="15">
        <f t="shared" si="4"/>
        <v>0</v>
      </c>
      <c r="AN8" s="15">
        <f t="shared" si="4"/>
        <v>0</v>
      </c>
      <c r="AO8" s="15">
        <f t="shared" si="4"/>
        <v>0</v>
      </c>
      <c r="AP8" s="15">
        <f t="shared" si="4"/>
        <v>0</v>
      </c>
      <c r="AQ8" s="15">
        <f t="shared" si="4"/>
        <v>0</v>
      </c>
      <c r="AR8" s="15">
        <f t="shared" si="4"/>
        <v>0</v>
      </c>
      <c r="AS8" s="15">
        <f t="shared" si="4"/>
        <v>0</v>
      </c>
      <c r="AT8" s="15">
        <f t="shared" si="5"/>
        <v>0</v>
      </c>
      <c r="AU8" s="15">
        <f t="shared" si="5"/>
        <v>0</v>
      </c>
      <c r="AV8" s="15">
        <f t="shared" si="5"/>
        <v>0</v>
      </c>
      <c r="AW8" s="15">
        <f t="shared" si="5"/>
        <v>0</v>
      </c>
      <c r="AX8" s="15">
        <f t="shared" si="5"/>
        <v>0</v>
      </c>
      <c r="AY8" s="15">
        <f t="shared" si="5"/>
        <v>0</v>
      </c>
      <c r="AZ8" s="15">
        <f t="shared" si="5"/>
        <v>0</v>
      </c>
      <c r="BA8" s="15">
        <f t="shared" si="5"/>
        <v>0</v>
      </c>
      <c r="BB8" s="15">
        <f t="shared" si="5"/>
        <v>0</v>
      </c>
      <c r="BC8" s="15">
        <f t="shared" si="5"/>
        <v>0</v>
      </c>
      <c r="BD8" s="15">
        <f t="shared" si="5"/>
        <v>0</v>
      </c>
      <c r="BE8" s="16">
        <f t="shared" si="5"/>
        <v>0</v>
      </c>
    </row>
    <row r="9" spans="1:57" x14ac:dyDescent="0.25">
      <c r="A9" t="s">
        <v>129</v>
      </c>
      <c r="B9">
        <v>69.937477111816406</v>
      </c>
      <c r="C9">
        <v>220.5</v>
      </c>
      <c r="D9" t="s">
        <v>152</v>
      </c>
      <c r="E9">
        <v>69</v>
      </c>
      <c r="F9">
        <v>220.5</v>
      </c>
      <c r="J9" t="str">
        <f t="shared" si="6"/>
        <v>Stock Data Target Stock</v>
      </c>
      <c r="M9">
        <f t="shared" si="0"/>
        <v>231.32552972978544</v>
      </c>
      <c r="N9" s="1">
        <f t="shared" si="1"/>
        <v>4.0526314277178413E-3</v>
      </c>
      <c r="P9" s="14">
        <f t="shared" si="2"/>
        <v>0</v>
      </c>
      <c r="Q9" s="15">
        <f t="shared" si="2"/>
        <v>0</v>
      </c>
      <c r="R9" s="15">
        <f t="shared" si="2"/>
        <v>0</v>
      </c>
      <c r="S9" s="15">
        <f t="shared" si="2"/>
        <v>0</v>
      </c>
      <c r="T9" s="15">
        <f t="shared" si="2"/>
        <v>0</v>
      </c>
      <c r="U9" s="15">
        <f t="shared" si="2"/>
        <v>0</v>
      </c>
      <c r="V9" s="15">
        <f t="shared" si="2"/>
        <v>0</v>
      </c>
      <c r="W9" s="15">
        <f t="shared" si="2"/>
        <v>0</v>
      </c>
      <c r="X9" s="15">
        <f t="shared" si="2"/>
        <v>0</v>
      </c>
      <c r="Y9" s="15">
        <f t="shared" si="2"/>
        <v>0</v>
      </c>
      <c r="Z9" s="15">
        <f t="shared" si="3"/>
        <v>0</v>
      </c>
      <c r="AA9" s="15">
        <f t="shared" si="3"/>
        <v>0</v>
      </c>
      <c r="AB9" s="15">
        <f t="shared" si="3"/>
        <v>0</v>
      </c>
      <c r="AC9" s="15">
        <f t="shared" si="3"/>
        <v>0</v>
      </c>
      <c r="AD9" s="15">
        <f t="shared" si="3"/>
        <v>0</v>
      </c>
      <c r="AE9" s="15">
        <f t="shared" si="3"/>
        <v>0</v>
      </c>
      <c r="AF9" s="15">
        <f t="shared" si="3"/>
        <v>0</v>
      </c>
      <c r="AG9" s="15">
        <f t="shared" si="3"/>
        <v>0</v>
      </c>
      <c r="AH9" s="15">
        <f t="shared" si="3"/>
        <v>0</v>
      </c>
      <c r="AI9" s="15">
        <f t="shared" si="3"/>
        <v>0</v>
      </c>
      <c r="AJ9" s="15">
        <f t="shared" si="4"/>
        <v>0</v>
      </c>
      <c r="AK9" s="15">
        <f t="shared" si="4"/>
        <v>0</v>
      </c>
      <c r="AL9" s="15">
        <f t="shared" si="4"/>
        <v>0</v>
      </c>
      <c r="AM9" s="15">
        <f t="shared" si="4"/>
        <v>0</v>
      </c>
      <c r="AN9" s="15">
        <f t="shared" si="4"/>
        <v>0</v>
      </c>
      <c r="AO9" s="15">
        <f t="shared" si="4"/>
        <v>0</v>
      </c>
      <c r="AP9" s="15">
        <f t="shared" si="4"/>
        <v>0</v>
      </c>
      <c r="AQ9" s="15">
        <f t="shared" si="4"/>
        <v>0</v>
      </c>
      <c r="AR9" s="15">
        <f t="shared" si="4"/>
        <v>0</v>
      </c>
      <c r="AS9" s="15">
        <f t="shared" si="4"/>
        <v>0</v>
      </c>
      <c r="AT9" s="15">
        <f t="shared" si="5"/>
        <v>0</v>
      </c>
      <c r="AU9" s="15">
        <f t="shared" si="5"/>
        <v>0</v>
      </c>
      <c r="AV9" s="15">
        <f t="shared" si="5"/>
        <v>0</v>
      </c>
      <c r="AW9" s="15">
        <f t="shared" si="5"/>
        <v>0</v>
      </c>
      <c r="AX9" s="15">
        <f t="shared" si="5"/>
        <v>0</v>
      </c>
      <c r="AY9" s="15">
        <f t="shared" si="5"/>
        <v>0</v>
      </c>
      <c r="AZ9" s="15">
        <f t="shared" si="5"/>
        <v>0</v>
      </c>
      <c r="BA9" s="15">
        <f t="shared" si="5"/>
        <v>0</v>
      </c>
      <c r="BB9" s="15">
        <f t="shared" si="5"/>
        <v>0</v>
      </c>
      <c r="BC9" s="15">
        <f t="shared" si="5"/>
        <v>0</v>
      </c>
      <c r="BD9" s="15">
        <f t="shared" si="5"/>
        <v>0</v>
      </c>
      <c r="BE9" s="16">
        <f t="shared" si="5"/>
        <v>0</v>
      </c>
    </row>
    <row r="10" spans="1:57" x14ac:dyDescent="0.25">
      <c r="A10" t="s">
        <v>119</v>
      </c>
      <c r="B10">
        <v>99</v>
      </c>
      <c r="C10">
        <v>0</v>
      </c>
      <c r="D10" t="s">
        <v>21</v>
      </c>
      <c r="E10">
        <v>99</v>
      </c>
      <c r="F10">
        <v>0</v>
      </c>
      <c r="J10" t="str">
        <f t="shared" si="6"/>
        <v>Budget COS</v>
      </c>
      <c r="M10">
        <f t="shared" si="0"/>
        <v>99</v>
      </c>
      <c r="N10" s="1">
        <f t="shared" si="1"/>
        <v>0</v>
      </c>
      <c r="P10" s="14">
        <f t="shared" si="2"/>
        <v>0</v>
      </c>
      <c r="Q10" s="15">
        <f t="shared" si="2"/>
        <v>0</v>
      </c>
      <c r="R10" s="15">
        <f t="shared" si="2"/>
        <v>0</v>
      </c>
      <c r="S10" s="15">
        <f t="shared" si="2"/>
        <v>0</v>
      </c>
      <c r="T10" s="15">
        <f t="shared" si="2"/>
        <v>0</v>
      </c>
      <c r="U10" s="15">
        <f t="shared" si="2"/>
        <v>0</v>
      </c>
      <c r="V10" s="15">
        <f t="shared" si="2"/>
        <v>0</v>
      </c>
      <c r="W10" s="15">
        <f t="shared" si="2"/>
        <v>0</v>
      </c>
      <c r="X10" s="15">
        <f t="shared" si="2"/>
        <v>0</v>
      </c>
      <c r="Y10" s="15">
        <f t="shared" si="2"/>
        <v>0</v>
      </c>
      <c r="Z10" s="15">
        <f t="shared" si="3"/>
        <v>0</v>
      </c>
      <c r="AA10" s="15">
        <f t="shared" si="3"/>
        <v>0</v>
      </c>
      <c r="AB10" s="15">
        <f t="shared" si="3"/>
        <v>0</v>
      </c>
      <c r="AC10" s="15">
        <f t="shared" si="3"/>
        <v>0</v>
      </c>
      <c r="AD10" s="15">
        <f t="shared" si="3"/>
        <v>0</v>
      </c>
      <c r="AE10" s="15">
        <f t="shared" si="3"/>
        <v>0</v>
      </c>
      <c r="AF10" s="15">
        <f t="shared" si="3"/>
        <v>0</v>
      </c>
      <c r="AG10" s="15">
        <f t="shared" si="3"/>
        <v>0</v>
      </c>
      <c r="AH10" s="15">
        <f t="shared" si="3"/>
        <v>0</v>
      </c>
      <c r="AI10" s="15">
        <f t="shared" si="3"/>
        <v>0</v>
      </c>
      <c r="AJ10" s="15">
        <f t="shared" si="4"/>
        <v>0</v>
      </c>
      <c r="AK10" s="15">
        <f t="shared" si="4"/>
        <v>0</v>
      </c>
      <c r="AL10" s="15">
        <f t="shared" si="4"/>
        <v>0</v>
      </c>
      <c r="AM10" s="15">
        <f t="shared" si="4"/>
        <v>0</v>
      </c>
      <c r="AN10" s="15">
        <f t="shared" si="4"/>
        <v>0</v>
      </c>
      <c r="AO10" s="15">
        <f t="shared" si="4"/>
        <v>0</v>
      </c>
      <c r="AP10" s="15">
        <f t="shared" si="4"/>
        <v>0</v>
      </c>
      <c r="AQ10" s="15">
        <f t="shared" si="4"/>
        <v>0</v>
      </c>
      <c r="AR10" s="15">
        <f t="shared" si="4"/>
        <v>0</v>
      </c>
      <c r="AS10" s="15">
        <f t="shared" si="4"/>
        <v>0</v>
      </c>
      <c r="AT10" s="15">
        <f t="shared" si="5"/>
        <v>0</v>
      </c>
      <c r="AU10" s="15">
        <f t="shared" si="5"/>
        <v>0</v>
      </c>
      <c r="AV10" s="15">
        <f t="shared" si="5"/>
        <v>0</v>
      </c>
      <c r="AW10" s="15">
        <f t="shared" si="5"/>
        <v>0</v>
      </c>
      <c r="AX10" s="15">
        <f t="shared" si="5"/>
        <v>0</v>
      </c>
      <c r="AY10" s="15">
        <f t="shared" si="5"/>
        <v>0</v>
      </c>
      <c r="AZ10" s="15">
        <f t="shared" si="5"/>
        <v>0</v>
      </c>
      <c r="BA10" s="15">
        <f t="shared" si="5"/>
        <v>0</v>
      </c>
      <c r="BB10" s="15">
        <f t="shared" si="5"/>
        <v>0</v>
      </c>
      <c r="BC10" s="15">
        <f t="shared" si="5"/>
        <v>0</v>
      </c>
      <c r="BD10" s="15">
        <f t="shared" si="5"/>
        <v>0</v>
      </c>
      <c r="BE10" s="16">
        <f t="shared" si="5"/>
        <v>0</v>
      </c>
    </row>
    <row r="11" spans="1:57" x14ac:dyDescent="0.25">
      <c r="A11" t="s">
        <v>130</v>
      </c>
      <c r="B11">
        <v>99</v>
      </c>
      <c r="C11">
        <v>159.75</v>
      </c>
      <c r="D11" t="s">
        <v>82</v>
      </c>
      <c r="E11">
        <v>99</v>
      </c>
      <c r="F11">
        <v>159.75</v>
      </c>
      <c r="J11" t="str">
        <f t="shared" si="6"/>
        <v>Budget COS n-1</v>
      </c>
      <c r="M11">
        <f t="shared" si="0"/>
        <v>187.93898610985428</v>
      </c>
      <c r="N11" s="1">
        <f t="shared" si="1"/>
        <v>0</v>
      </c>
      <c r="P11" s="14">
        <f t="shared" si="2"/>
        <v>0</v>
      </c>
      <c r="Q11" s="15">
        <f t="shared" si="2"/>
        <v>0</v>
      </c>
      <c r="R11" s="15">
        <f t="shared" si="2"/>
        <v>0</v>
      </c>
      <c r="S11" s="15">
        <f t="shared" si="2"/>
        <v>0</v>
      </c>
      <c r="T11" s="15">
        <f t="shared" si="2"/>
        <v>0</v>
      </c>
      <c r="U11" s="15">
        <f t="shared" si="2"/>
        <v>0</v>
      </c>
      <c r="V11" s="15">
        <f t="shared" si="2"/>
        <v>0</v>
      </c>
      <c r="W11" s="15">
        <f t="shared" si="2"/>
        <v>0</v>
      </c>
      <c r="X11" s="15">
        <f t="shared" si="2"/>
        <v>0</v>
      </c>
      <c r="Y11" s="15">
        <f t="shared" si="2"/>
        <v>0</v>
      </c>
      <c r="Z11" s="15">
        <f t="shared" si="3"/>
        <v>0</v>
      </c>
      <c r="AA11" s="15">
        <f t="shared" si="3"/>
        <v>0</v>
      </c>
      <c r="AB11" s="15">
        <f t="shared" si="3"/>
        <v>0</v>
      </c>
      <c r="AC11" s="15">
        <f t="shared" si="3"/>
        <v>0</v>
      </c>
      <c r="AD11" s="15">
        <f t="shared" si="3"/>
        <v>0</v>
      </c>
      <c r="AE11" s="15">
        <f t="shared" si="3"/>
        <v>0</v>
      </c>
      <c r="AF11" s="15">
        <f t="shared" si="3"/>
        <v>0</v>
      </c>
      <c r="AG11" s="15">
        <f t="shared" si="3"/>
        <v>0</v>
      </c>
      <c r="AH11" s="15">
        <f t="shared" si="3"/>
        <v>0</v>
      </c>
      <c r="AI11" s="15">
        <f t="shared" si="3"/>
        <v>0</v>
      </c>
      <c r="AJ11" s="15">
        <f t="shared" si="4"/>
        <v>0</v>
      </c>
      <c r="AK11" s="15">
        <f t="shared" si="4"/>
        <v>0</v>
      </c>
      <c r="AL11" s="15">
        <f t="shared" si="4"/>
        <v>0</v>
      </c>
      <c r="AM11" s="15">
        <f t="shared" si="4"/>
        <v>0</v>
      </c>
      <c r="AN11" s="15">
        <f t="shared" si="4"/>
        <v>0</v>
      </c>
      <c r="AO11" s="15">
        <f t="shared" si="4"/>
        <v>0</v>
      </c>
      <c r="AP11" s="15">
        <f t="shared" si="4"/>
        <v>0</v>
      </c>
      <c r="AQ11" s="15">
        <f t="shared" si="4"/>
        <v>0</v>
      </c>
      <c r="AR11" s="15">
        <f t="shared" si="4"/>
        <v>0</v>
      </c>
      <c r="AS11" s="15">
        <f t="shared" si="4"/>
        <v>0</v>
      </c>
      <c r="AT11" s="15">
        <f t="shared" si="5"/>
        <v>0</v>
      </c>
      <c r="AU11" s="15">
        <f t="shared" si="5"/>
        <v>0</v>
      </c>
      <c r="AV11" s="15">
        <f t="shared" si="5"/>
        <v>0</v>
      </c>
      <c r="AW11" s="15">
        <f t="shared" si="5"/>
        <v>0</v>
      </c>
      <c r="AX11" s="15">
        <f t="shared" si="5"/>
        <v>0</v>
      </c>
      <c r="AY11" s="15">
        <f t="shared" si="5"/>
        <v>0</v>
      </c>
      <c r="AZ11" s="15">
        <f t="shared" si="5"/>
        <v>0</v>
      </c>
      <c r="BA11" s="15">
        <f t="shared" si="5"/>
        <v>0</v>
      </c>
      <c r="BB11" s="15">
        <f t="shared" si="5"/>
        <v>0</v>
      </c>
      <c r="BC11" s="15">
        <f t="shared" si="5"/>
        <v>0</v>
      </c>
      <c r="BD11" s="15">
        <f t="shared" si="5"/>
        <v>0</v>
      </c>
      <c r="BE11" s="16">
        <f t="shared" si="5"/>
        <v>0</v>
      </c>
    </row>
    <row r="12" spans="1:57" x14ac:dyDescent="0.25">
      <c r="A12" t="s">
        <v>102</v>
      </c>
      <c r="B12">
        <v>99</v>
      </c>
      <c r="C12">
        <v>184.5</v>
      </c>
      <c r="D12" t="s">
        <v>90</v>
      </c>
      <c r="E12">
        <v>99</v>
      </c>
      <c r="F12">
        <v>184.5</v>
      </c>
      <c r="J12" t="str">
        <f t="shared" si="6"/>
        <v>Budget COS n</v>
      </c>
      <c r="M12">
        <f t="shared" si="0"/>
        <v>209.38302223437316</v>
      </c>
      <c r="N12" s="1">
        <f t="shared" si="1"/>
        <v>0</v>
      </c>
      <c r="P12" s="14">
        <f t="shared" ref="P12:Y21" si="7">COUNTIFS($G$44:$G$78,$J12,$H$44:$H$78,P$1)</f>
        <v>0</v>
      </c>
      <c r="Q12" s="15">
        <f t="shared" si="7"/>
        <v>0</v>
      </c>
      <c r="R12" s="15">
        <f t="shared" si="7"/>
        <v>1</v>
      </c>
      <c r="S12" s="15">
        <f t="shared" si="7"/>
        <v>0</v>
      </c>
      <c r="T12" s="15">
        <f t="shared" si="7"/>
        <v>1</v>
      </c>
      <c r="U12" s="15">
        <f t="shared" si="7"/>
        <v>0</v>
      </c>
      <c r="V12" s="15">
        <f t="shared" si="7"/>
        <v>1</v>
      </c>
      <c r="W12" s="15">
        <f t="shared" si="7"/>
        <v>0</v>
      </c>
      <c r="X12" s="15">
        <f t="shared" si="7"/>
        <v>0</v>
      </c>
      <c r="Y12" s="15">
        <f t="shared" si="7"/>
        <v>0</v>
      </c>
      <c r="Z12" s="15">
        <f t="shared" ref="Z12:AI21" si="8">COUNTIFS($G$44:$G$78,$J12,$H$44:$H$78,Z$1)</f>
        <v>0</v>
      </c>
      <c r="AA12" s="15">
        <f t="shared" si="8"/>
        <v>0</v>
      </c>
      <c r="AB12" s="15">
        <f t="shared" si="8"/>
        <v>0</v>
      </c>
      <c r="AC12" s="15">
        <f t="shared" si="8"/>
        <v>0</v>
      </c>
      <c r="AD12" s="15">
        <f t="shared" si="8"/>
        <v>0</v>
      </c>
      <c r="AE12" s="15">
        <f t="shared" si="8"/>
        <v>0</v>
      </c>
      <c r="AF12" s="15">
        <f t="shared" si="8"/>
        <v>0</v>
      </c>
      <c r="AG12" s="15">
        <f t="shared" si="8"/>
        <v>0</v>
      </c>
      <c r="AH12" s="15">
        <f t="shared" si="8"/>
        <v>0</v>
      </c>
      <c r="AI12" s="15">
        <f t="shared" si="8"/>
        <v>0</v>
      </c>
      <c r="AJ12" s="15">
        <f t="shared" ref="AJ12:AS21" si="9">COUNTIFS($G$44:$G$78,$J12,$H$44:$H$78,AJ$1)</f>
        <v>0</v>
      </c>
      <c r="AK12" s="15">
        <f t="shared" si="9"/>
        <v>0</v>
      </c>
      <c r="AL12" s="15">
        <f t="shared" si="9"/>
        <v>0</v>
      </c>
      <c r="AM12" s="15">
        <f t="shared" si="9"/>
        <v>0</v>
      </c>
      <c r="AN12" s="15">
        <f t="shared" si="9"/>
        <v>0</v>
      </c>
      <c r="AO12" s="15">
        <f t="shared" si="9"/>
        <v>0</v>
      </c>
      <c r="AP12" s="15">
        <f t="shared" si="9"/>
        <v>0</v>
      </c>
      <c r="AQ12" s="15">
        <f t="shared" si="9"/>
        <v>0</v>
      </c>
      <c r="AR12" s="15">
        <f t="shared" si="9"/>
        <v>0</v>
      </c>
      <c r="AS12" s="15">
        <f t="shared" si="9"/>
        <v>0</v>
      </c>
      <c r="AT12" s="15">
        <f t="shared" ref="AT12:BE21" si="10">COUNTIFS($G$44:$G$78,$J12,$H$44:$H$78,AT$1)</f>
        <v>0</v>
      </c>
      <c r="AU12" s="15">
        <f t="shared" si="10"/>
        <v>0</v>
      </c>
      <c r="AV12" s="15">
        <f t="shared" si="10"/>
        <v>0</v>
      </c>
      <c r="AW12" s="15">
        <f t="shared" si="10"/>
        <v>0</v>
      </c>
      <c r="AX12" s="15">
        <f t="shared" si="10"/>
        <v>0</v>
      </c>
      <c r="AY12" s="15">
        <f t="shared" si="10"/>
        <v>0</v>
      </c>
      <c r="AZ12" s="15">
        <f t="shared" si="10"/>
        <v>0</v>
      </c>
      <c r="BA12" s="15">
        <f t="shared" si="10"/>
        <v>0</v>
      </c>
      <c r="BB12" s="15">
        <f t="shared" si="10"/>
        <v>0</v>
      </c>
      <c r="BC12" s="15">
        <f t="shared" si="10"/>
        <v>0</v>
      </c>
      <c r="BD12" s="15">
        <f t="shared" si="10"/>
        <v>0</v>
      </c>
      <c r="BE12" s="16">
        <f t="shared" si="10"/>
        <v>0</v>
      </c>
    </row>
    <row r="13" spans="1:57" x14ac:dyDescent="0.25">
      <c r="A13" t="s">
        <v>127</v>
      </c>
      <c r="B13">
        <v>99</v>
      </c>
      <c r="C13">
        <v>220.5</v>
      </c>
      <c r="D13" t="s">
        <v>28</v>
      </c>
      <c r="E13">
        <v>99</v>
      </c>
      <c r="F13">
        <v>220.5</v>
      </c>
      <c r="J13" t="str">
        <f t="shared" si="6"/>
        <v>ROP (re-order ppoint)</v>
      </c>
      <c r="M13">
        <f t="shared" si="0"/>
        <v>241.70488203592413</v>
      </c>
      <c r="N13" s="1">
        <f t="shared" si="1"/>
        <v>0</v>
      </c>
      <c r="P13" s="14">
        <f t="shared" si="7"/>
        <v>0</v>
      </c>
      <c r="Q13" s="15">
        <f t="shared" si="7"/>
        <v>0</v>
      </c>
      <c r="R13" s="15">
        <f t="shared" si="7"/>
        <v>0</v>
      </c>
      <c r="S13" s="15">
        <f t="shared" si="7"/>
        <v>0</v>
      </c>
      <c r="T13" s="15">
        <f t="shared" si="7"/>
        <v>0</v>
      </c>
      <c r="U13" s="15">
        <f t="shared" si="7"/>
        <v>0</v>
      </c>
      <c r="V13" s="15">
        <f t="shared" si="7"/>
        <v>0</v>
      </c>
      <c r="W13" s="15">
        <f t="shared" si="7"/>
        <v>0</v>
      </c>
      <c r="X13" s="15">
        <f t="shared" si="7"/>
        <v>0</v>
      </c>
      <c r="Y13" s="15">
        <f t="shared" si="7"/>
        <v>0</v>
      </c>
      <c r="Z13" s="15">
        <f t="shared" si="8"/>
        <v>0</v>
      </c>
      <c r="AA13" s="15">
        <f t="shared" si="8"/>
        <v>0</v>
      </c>
      <c r="AB13" s="15">
        <f t="shared" si="8"/>
        <v>0</v>
      </c>
      <c r="AC13" s="15">
        <f t="shared" si="8"/>
        <v>0</v>
      </c>
      <c r="AD13" s="15">
        <f t="shared" si="8"/>
        <v>0</v>
      </c>
      <c r="AE13" s="15">
        <f t="shared" si="8"/>
        <v>0</v>
      </c>
      <c r="AF13" s="15">
        <f t="shared" si="8"/>
        <v>0</v>
      </c>
      <c r="AG13" s="15">
        <f t="shared" si="8"/>
        <v>0</v>
      </c>
      <c r="AH13" s="15">
        <f t="shared" si="8"/>
        <v>0</v>
      </c>
      <c r="AI13" s="15">
        <f t="shared" si="8"/>
        <v>0</v>
      </c>
      <c r="AJ13" s="15">
        <f t="shared" si="9"/>
        <v>0</v>
      </c>
      <c r="AK13" s="15">
        <f t="shared" si="9"/>
        <v>0</v>
      </c>
      <c r="AL13" s="15">
        <f t="shared" si="9"/>
        <v>0</v>
      </c>
      <c r="AM13" s="15">
        <f t="shared" si="9"/>
        <v>0</v>
      </c>
      <c r="AN13" s="15">
        <f t="shared" si="9"/>
        <v>0</v>
      </c>
      <c r="AO13" s="15">
        <f t="shared" si="9"/>
        <v>0</v>
      </c>
      <c r="AP13" s="15">
        <f t="shared" si="9"/>
        <v>0</v>
      </c>
      <c r="AQ13" s="15">
        <f t="shared" si="9"/>
        <v>0</v>
      </c>
      <c r="AR13" s="15">
        <f t="shared" si="9"/>
        <v>0</v>
      </c>
      <c r="AS13" s="15">
        <f t="shared" si="9"/>
        <v>0</v>
      </c>
      <c r="AT13" s="15">
        <f t="shared" si="10"/>
        <v>0</v>
      </c>
      <c r="AU13" s="15">
        <f t="shared" si="10"/>
        <v>0</v>
      </c>
      <c r="AV13" s="15">
        <f t="shared" si="10"/>
        <v>0</v>
      </c>
      <c r="AW13" s="15">
        <f t="shared" si="10"/>
        <v>0</v>
      </c>
      <c r="AX13" s="15">
        <f t="shared" si="10"/>
        <v>0</v>
      </c>
      <c r="AY13" s="15">
        <f t="shared" si="10"/>
        <v>0</v>
      </c>
      <c r="AZ13" s="15">
        <f t="shared" si="10"/>
        <v>0</v>
      </c>
      <c r="BA13" s="15">
        <f t="shared" si="10"/>
        <v>0</v>
      </c>
      <c r="BB13" s="15">
        <f t="shared" si="10"/>
        <v>0</v>
      </c>
      <c r="BC13" s="15">
        <f t="shared" si="10"/>
        <v>0</v>
      </c>
      <c r="BD13" s="15">
        <f t="shared" si="10"/>
        <v>0</v>
      </c>
      <c r="BE13" s="16">
        <f t="shared" si="10"/>
        <v>0</v>
      </c>
    </row>
    <row r="14" spans="1:57" x14ac:dyDescent="0.25">
      <c r="A14" t="s">
        <v>117</v>
      </c>
      <c r="B14">
        <v>99</v>
      </c>
      <c r="C14">
        <v>563.25</v>
      </c>
      <c r="D14" t="s">
        <v>99</v>
      </c>
      <c r="E14">
        <v>99</v>
      </c>
      <c r="F14">
        <v>563.25</v>
      </c>
      <c r="J14" t="str">
        <f t="shared" si="6"/>
        <v>ROP (re-order ppoint) n</v>
      </c>
      <c r="M14">
        <f t="shared" si="0"/>
        <v>571.88422123713121</v>
      </c>
      <c r="N14" s="1">
        <f t="shared" si="1"/>
        <v>0</v>
      </c>
      <c r="P14" s="14">
        <f t="shared" si="7"/>
        <v>0</v>
      </c>
      <c r="Q14" s="15">
        <f t="shared" si="7"/>
        <v>0</v>
      </c>
      <c r="R14" s="15">
        <f t="shared" si="7"/>
        <v>0</v>
      </c>
      <c r="S14" s="15">
        <f t="shared" si="7"/>
        <v>1</v>
      </c>
      <c r="T14" s="15">
        <f t="shared" si="7"/>
        <v>0</v>
      </c>
      <c r="U14" s="15">
        <f t="shared" si="7"/>
        <v>0</v>
      </c>
      <c r="V14" s="15">
        <f t="shared" si="7"/>
        <v>0</v>
      </c>
      <c r="W14" s="15">
        <f t="shared" si="7"/>
        <v>0</v>
      </c>
      <c r="X14" s="15">
        <f t="shared" si="7"/>
        <v>0</v>
      </c>
      <c r="Y14" s="15">
        <f t="shared" si="7"/>
        <v>0</v>
      </c>
      <c r="Z14" s="15">
        <f t="shared" si="8"/>
        <v>0</v>
      </c>
      <c r="AA14" s="15">
        <f t="shared" si="8"/>
        <v>0</v>
      </c>
      <c r="AB14" s="15">
        <f t="shared" si="8"/>
        <v>0</v>
      </c>
      <c r="AC14" s="15">
        <f t="shared" si="8"/>
        <v>0</v>
      </c>
      <c r="AD14" s="15">
        <f t="shared" si="8"/>
        <v>0</v>
      </c>
      <c r="AE14" s="15">
        <f t="shared" si="8"/>
        <v>0</v>
      </c>
      <c r="AF14" s="15">
        <f t="shared" si="8"/>
        <v>0</v>
      </c>
      <c r="AG14" s="15">
        <f t="shared" si="8"/>
        <v>0</v>
      </c>
      <c r="AH14" s="15">
        <f t="shared" si="8"/>
        <v>0</v>
      </c>
      <c r="AI14" s="15">
        <f t="shared" si="8"/>
        <v>0</v>
      </c>
      <c r="AJ14" s="15">
        <f t="shared" si="9"/>
        <v>0</v>
      </c>
      <c r="AK14" s="15">
        <f t="shared" si="9"/>
        <v>0</v>
      </c>
      <c r="AL14" s="15">
        <f t="shared" si="9"/>
        <v>0</v>
      </c>
      <c r="AM14" s="15">
        <f t="shared" si="9"/>
        <v>0</v>
      </c>
      <c r="AN14" s="15">
        <f t="shared" si="9"/>
        <v>0</v>
      </c>
      <c r="AO14" s="15">
        <f t="shared" si="9"/>
        <v>0</v>
      </c>
      <c r="AP14" s="15">
        <f t="shared" si="9"/>
        <v>0</v>
      </c>
      <c r="AQ14" s="15">
        <f t="shared" si="9"/>
        <v>0</v>
      </c>
      <c r="AR14" s="15">
        <f t="shared" si="9"/>
        <v>0</v>
      </c>
      <c r="AS14" s="15">
        <f t="shared" si="9"/>
        <v>0</v>
      </c>
      <c r="AT14" s="15">
        <f t="shared" si="10"/>
        <v>0</v>
      </c>
      <c r="AU14" s="15">
        <f t="shared" si="10"/>
        <v>0</v>
      </c>
      <c r="AV14" s="15">
        <f t="shared" si="10"/>
        <v>0</v>
      </c>
      <c r="AW14" s="15">
        <f t="shared" si="10"/>
        <v>0</v>
      </c>
      <c r="AX14" s="15">
        <f t="shared" si="10"/>
        <v>0</v>
      </c>
      <c r="AY14" s="15">
        <f t="shared" si="10"/>
        <v>0</v>
      </c>
      <c r="AZ14" s="15">
        <f t="shared" si="10"/>
        <v>0</v>
      </c>
      <c r="BA14" s="15">
        <f t="shared" si="10"/>
        <v>0</v>
      </c>
      <c r="BB14" s="15">
        <f t="shared" si="10"/>
        <v>0</v>
      </c>
      <c r="BC14" s="15">
        <f t="shared" si="10"/>
        <v>0</v>
      </c>
      <c r="BD14" s="15">
        <f t="shared" si="10"/>
        <v>0</v>
      </c>
      <c r="BE14" s="16">
        <f t="shared" si="10"/>
        <v>0</v>
      </c>
    </row>
    <row r="15" spans="1:57" x14ac:dyDescent="0.25">
      <c r="A15" t="s">
        <v>83</v>
      </c>
      <c r="B15">
        <v>219.75</v>
      </c>
      <c r="C15">
        <v>0</v>
      </c>
      <c r="D15" t="s">
        <v>4</v>
      </c>
      <c r="E15">
        <v>219.75</v>
      </c>
      <c r="F15">
        <v>0</v>
      </c>
      <c r="J15" t="str">
        <f t="shared" si="6"/>
        <v>Proposed COS</v>
      </c>
      <c r="M15">
        <f t="shared" si="0"/>
        <v>219.75</v>
      </c>
      <c r="N15" s="1">
        <f t="shared" si="1"/>
        <v>0</v>
      </c>
      <c r="P15" s="14">
        <f t="shared" si="7"/>
        <v>0</v>
      </c>
      <c r="Q15" s="15">
        <f t="shared" si="7"/>
        <v>0</v>
      </c>
      <c r="R15" s="15">
        <f t="shared" si="7"/>
        <v>0</v>
      </c>
      <c r="S15" s="15">
        <f t="shared" si="7"/>
        <v>0</v>
      </c>
      <c r="T15" s="15">
        <f t="shared" si="7"/>
        <v>0</v>
      </c>
      <c r="U15" s="15">
        <f t="shared" si="7"/>
        <v>0</v>
      </c>
      <c r="V15" s="15">
        <f t="shared" si="7"/>
        <v>0</v>
      </c>
      <c r="W15" s="15">
        <f t="shared" si="7"/>
        <v>0</v>
      </c>
      <c r="X15" s="15">
        <f t="shared" si="7"/>
        <v>0</v>
      </c>
      <c r="Y15" s="15">
        <f t="shared" si="7"/>
        <v>0</v>
      </c>
      <c r="Z15" s="15">
        <f t="shared" si="8"/>
        <v>0</v>
      </c>
      <c r="AA15" s="15">
        <f t="shared" si="8"/>
        <v>0</v>
      </c>
      <c r="AB15" s="15">
        <f t="shared" si="8"/>
        <v>0</v>
      </c>
      <c r="AC15" s="15">
        <f t="shared" si="8"/>
        <v>0</v>
      </c>
      <c r="AD15" s="15">
        <f t="shared" si="8"/>
        <v>0</v>
      </c>
      <c r="AE15" s="15">
        <f t="shared" si="8"/>
        <v>0</v>
      </c>
      <c r="AF15" s="15">
        <f t="shared" si="8"/>
        <v>0</v>
      </c>
      <c r="AG15" s="15">
        <f t="shared" si="8"/>
        <v>0</v>
      </c>
      <c r="AH15" s="15">
        <f t="shared" si="8"/>
        <v>0</v>
      </c>
      <c r="AI15" s="15">
        <f t="shared" si="8"/>
        <v>0</v>
      </c>
      <c r="AJ15" s="15">
        <f t="shared" si="9"/>
        <v>0</v>
      </c>
      <c r="AK15" s="15">
        <f t="shared" si="9"/>
        <v>0</v>
      </c>
      <c r="AL15" s="15">
        <f t="shared" si="9"/>
        <v>0</v>
      </c>
      <c r="AM15" s="15">
        <f t="shared" si="9"/>
        <v>0</v>
      </c>
      <c r="AN15" s="15">
        <f t="shared" si="9"/>
        <v>0</v>
      </c>
      <c r="AO15" s="15">
        <f t="shared" si="9"/>
        <v>0</v>
      </c>
      <c r="AP15" s="15">
        <f t="shared" si="9"/>
        <v>0</v>
      </c>
      <c r="AQ15" s="15">
        <f t="shared" si="9"/>
        <v>0</v>
      </c>
      <c r="AR15" s="15">
        <f t="shared" si="9"/>
        <v>0</v>
      </c>
      <c r="AS15" s="15">
        <f t="shared" si="9"/>
        <v>0</v>
      </c>
      <c r="AT15" s="15">
        <f t="shared" si="10"/>
        <v>0</v>
      </c>
      <c r="AU15" s="15">
        <f t="shared" si="10"/>
        <v>0</v>
      </c>
      <c r="AV15" s="15">
        <f t="shared" si="10"/>
        <v>0</v>
      </c>
      <c r="AW15" s="15">
        <f t="shared" si="10"/>
        <v>0</v>
      </c>
      <c r="AX15" s="15">
        <f t="shared" si="10"/>
        <v>0</v>
      </c>
      <c r="AY15" s="15">
        <f t="shared" si="10"/>
        <v>0</v>
      </c>
      <c r="AZ15" s="15">
        <f t="shared" si="10"/>
        <v>0</v>
      </c>
      <c r="BA15" s="15">
        <f t="shared" si="10"/>
        <v>0</v>
      </c>
      <c r="BB15" s="15">
        <f t="shared" si="10"/>
        <v>0</v>
      </c>
      <c r="BC15" s="15">
        <f t="shared" si="10"/>
        <v>0</v>
      </c>
      <c r="BD15" s="15">
        <f t="shared" si="10"/>
        <v>0</v>
      </c>
      <c r="BE15" s="16">
        <f t="shared" si="10"/>
        <v>0</v>
      </c>
    </row>
    <row r="16" spans="1:57" x14ac:dyDescent="0.25">
      <c r="A16" t="s">
        <v>53</v>
      </c>
      <c r="B16">
        <v>219.75</v>
      </c>
      <c r="C16">
        <v>159.75</v>
      </c>
      <c r="D16" t="s">
        <v>55</v>
      </c>
      <c r="E16">
        <v>219.75</v>
      </c>
      <c r="F16">
        <v>159.75</v>
      </c>
      <c r="J16" t="str">
        <f t="shared" si="6"/>
        <v>Proposed COS n-1</v>
      </c>
      <c r="M16">
        <f t="shared" si="0"/>
        <v>271.6801888250227</v>
      </c>
      <c r="N16" s="1">
        <f t="shared" si="1"/>
        <v>0</v>
      </c>
      <c r="P16" s="14">
        <f t="shared" si="7"/>
        <v>0</v>
      </c>
      <c r="Q16" s="15">
        <f t="shared" si="7"/>
        <v>0</v>
      </c>
      <c r="R16" s="15">
        <f t="shared" si="7"/>
        <v>0</v>
      </c>
      <c r="S16" s="15">
        <f t="shared" si="7"/>
        <v>0</v>
      </c>
      <c r="T16" s="15">
        <f t="shared" si="7"/>
        <v>0</v>
      </c>
      <c r="U16" s="15">
        <f t="shared" si="7"/>
        <v>0</v>
      </c>
      <c r="V16" s="15">
        <f t="shared" si="7"/>
        <v>0</v>
      </c>
      <c r="W16" s="15">
        <f t="shared" si="7"/>
        <v>0</v>
      </c>
      <c r="X16" s="15">
        <f t="shared" si="7"/>
        <v>0</v>
      </c>
      <c r="Y16" s="15">
        <f t="shared" si="7"/>
        <v>0</v>
      </c>
      <c r="Z16" s="15">
        <f t="shared" si="8"/>
        <v>0</v>
      </c>
      <c r="AA16" s="15">
        <f t="shared" si="8"/>
        <v>0</v>
      </c>
      <c r="AB16" s="15">
        <f t="shared" si="8"/>
        <v>0</v>
      </c>
      <c r="AC16" s="15">
        <f t="shared" si="8"/>
        <v>0</v>
      </c>
      <c r="AD16" s="15">
        <f t="shared" si="8"/>
        <v>0</v>
      </c>
      <c r="AE16" s="15">
        <f t="shared" si="8"/>
        <v>0</v>
      </c>
      <c r="AF16" s="15">
        <f t="shared" si="8"/>
        <v>0</v>
      </c>
      <c r="AG16" s="15">
        <f t="shared" si="8"/>
        <v>0</v>
      </c>
      <c r="AH16" s="15">
        <f t="shared" si="8"/>
        <v>0</v>
      </c>
      <c r="AI16" s="15">
        <f t="shared" si="8"/>
        <v>0</v>
      </c>
      <c r="AJ16" s="15">
        <f t="shared" si="9"/>
        <v>0</v>
      </c>
      <c r="AK16" s="15">
        <f t="shared" si="9"/>
        <v>0</v>
      </c>
      <c r="AL16" s="15">
        <f t="shared" si="9"/>
        <v>0</v>
      </c>
      <c r="AM16" s="15">
        <f t="shared" si="9"/>
        <v>0</v>
      </c>
      <c r="AN16" s="15">
        <f t="shared" si="9"/>
        <v>0</v>
      </c>
      <c r="AO16" s="15">
        <f t="shared" si="9"/>
        <v>0</v>
      </c>
      <c r="AP16" s="15">
        <f t="shared" si="9"/>
        <v>0</v>
      </c>
      <c r="AQ16" s="15">
        <f t="shared" si="9"/>
        <v>0</v>
      </c>
      <c r="AR16" s="15">
        <f t="shared" si="9"/>
        <v>0</v>
      </c>
      <c r="AS16" s="15">
        <f t="shared" si="9"/>
        <v>0</v>
      </c>
      <c r="AT16" s="15">
        <f t="shared" si="10"/>
        <v>0</v>
      </c>
      <c r="AU16" s="15">
        <f t="shared" si="10"/>
        <v>0</v>
      </c>
      <c r="AV16" s="15">
        <f t="shared" si="10"/>
        <v>0</v>
      </c>
      <c r="AW16" s="15">
        <f t="shared" si="10"/>
        <v>0</v>
      </c>
      <c r="AX16" s="15">
        <f t="shared" si="10"/>
        <v>0</v>
      </c>
      <c r="AY16" s="15">
        <f t="shared" si="10"/>
        <v>0</v>
      </c>
      <c r="AZ16" s="15">
        <f t="shared" si="10"/>
        <v>0</v>
      </c>
      <c r="BA16" s="15">
        <f t="shared" si="10"/>
        <v>0</v>
      </c>
      <c r="BB16" s="15">
        <f t="shared" si="10"/>
        <v>0</v>
      </c>
      <c r="BC16" s="15">
        <f t="shared" si="10"/>
        <v>0</v>
      </c>
      <c r="BD16" s="15">
        <f t="shared" si="10"/>
        <v>0</v>
      </c>
      <c r="BE16" s="16">
        <f t="shared" si="10"/>
        <v>0</v>
      </c>
    </row>
    <row r="17" spans="1:57" x14ac:dyDescent="0.25">
      <c r="A17" t="s">
        <v>50</v>
      </c>
      <c r="B17">
        <v>219.75</v>
      </c>
      <c r="C17">
        <v>184.5</v>
      </c>
      <c r="D17" t="s">
        <v>51</v>
      </c>
      <c r="E17">
        <v>219.75</v>
      </c>
      <c r="F17">
        <v>184.5</v>
      </c>
      <c r="J17" t="str">
        <f t="shared" si="6"/>
        <v>Proposed COS n</v>
      </c>
      <c r="M17">
        <f t="shared" si="0"/>
        <v>286.93259225818178</v>
      </c>
      <c r="N17" s="1">
        <f t="shared" si="1"/>
        <v>0</v>
      </c>
      <c r="P17" s="14">
        <f t="shared" si="7"/>
        <v>0</v>
      </c>
      <c r="Q17" s="15">
        <f t="shared" si="7"/>
        <v>0</v>
      </c>
      <c r="R17" s="15">
        <f t="shared" si="7"/>
        <v>0</v>
      </c>
      <c r="S17" s="15">
        <f t="shared" si="7"/>
        <v>0</v>
      </c>
      <c r="T17" s="15">
        <f t="shared" si="7"/>
        <v>0</v>
      </c>
      <c r="U17" s="15">
        <f t="shared" si="7"/>
        <v>0</v>
      </c>
      <c r="V17" s="15">
        <f t="shared" si="7"/>
        <v>0</v>
      </c>
      <c r="W17" s="15">
        <f t="shared" si="7"/>
        <v>0</v>
      </c>
      <c r="X17" s="15">
        <f t="shared" si="7"/>
        <v>0</v>
      </c>
      <c r="Y17" s="15">
        <f t="shared" si="7"/>
        <v>0</v>
      </c>
      <c r="Z17" s="15">
        <f t="shared" si="8"/>
        <v>1</v>
      </c>
      <c r="AA17" s="15">
        <f t="shared" si="8"/>
        <v>0</v>
      </c>
      <c r="AB17" s="15">
        <f t="shared" si="8"/>
        <v>0</v>
      </c>
      <c r="AC17" s="15">
        <f t="shared" si="8"/>
        <v>0</v>
      </c>
      <c r="AD17" s="15">
        <f t="shared" si="8"/>
        <v>0</v>
      </c>
      <c r="AE17" s="15">
        <f t="shared" si="8"/>
        <v>0</v>
      </c>
      <c r="AF17" s="15">
        <f t="shared" si="8"/>
        <v>0</v>
      </c>
      <c r="AG17" s="15">
        <f t="shared" si="8"/>
        <v>0</v>
      </c>
      <c r="AH17" s="15">
        <f t="shared" si="8"/>
        <v>0</v>
      </c>
      <c r="AI17" s="15">
        <f t="shared" si="8"/>
        <v>0</v>
      </c>
      <c r="AJ17" s="15">
        <f t="shared" si="9"/>
        <v>0</v>
      </c>
      <c r="AK17" s="15">
        <f t="shared" si="9"/>
        <v>0</v>
      </c>
      <c r="AL17" s="15">
        <f t="shared" si="9"/>
        <v>0</v>
      </c>
      <c r="AM17" s="15">
        <f t="shared" si="9"/>
        <v>0</v>
      </c>
      <c r="AN17" s="15">
        <f t="shared" si="9"/>
        <v>0</v>
      </c>
      <c r="AO17" s="15">
        <f t="shared" si="9"/>
        <v>0</v>
      </c>
      <c r="AP17" s="15">
        <f t="shared" si="9"/>
        <v>0</v>
      </c>
      <c r="AQ17" s="15">
        <f t="shared" si="9"/>
        <v>0</v>
      </c>
      <c r="AR17" s="15">
        <f t="shared" si="9"/>
        <v>0</v>
      </c>
      <c r="AS17" s="15">
        <f t="shared" si="9"/>
        <v>0</v>
      </c>
      <c r="AT17" s="15">
        <f t="shared" si="10"/>
        <v>0</v>
      </c>
      <c r="AU17" s="15">
        <f t="shared" si="10"/>
        <v>0</v>
      </c>
      <c r="AV17" s="15">
        <f t="shared" si="10"/>
        <v>0</v>
      </c>
      <c r="AW17" s="15">
        <f t="shared" si="10"/>
        <v>0</v>
      </c>
      <c r="AX17" s="15">
        <f t="shared" si="10"/>
        <v>0</v>
      </c>
      <c r="AY17" s="15">
        <f t="shared" si="10"/>
        <v>0</v>
      </c>
      <c r="AZ17" s="15">
        <f t="shared" si="10"/>
        <v>0</v>
      </c>
      <c r="BA17" s="15">
        <f t="shared" si="10"/>
        <v>0</v>
      </c>
      <c r="BB17" s="15">
        <f t="shared" si="10"/>
        <v>0</v>
      </c>
      <c r="BC17" s="15">
        <f t="shared" si="10"/>
        <v>0</v>
      </c>
      <c r="BD17" s="15">
        <f t="shared" si="10"/>
        <v>0</v>
      </c>
      <c r="BE17" s="16">
        <f t="shared" si="10"/>
        <v>0</v>
      </c>
    </row>
    <row r="18" spans="1:57" x14ac:dyDescent="0.25">
      <c r="A18" t="s">
        <v>84</v>
      </c>
      <c r="B18">
        <v>219.75</v>
      </c>
      <c r="C18">
        <v>220.5</v>
      </c>
      <c r="D18" t="s">
        <v>8</v>
      </c>
      <c r="E18">
        <v>219.75</v>
      </c>
      <c r="F18">
        <v>220.5</v>
      </c>
      <c r="J18" t="str">
        <f t="shared" si="6"/>
        <v>Proposed Stock Purchase</v>
      </c>
      <c r="M18">
        <f t="shared" si="0"/>
        <v>311.30421214625414</v>
      </c>
      <c r="N18" s="1">
        <f t="shared" si="1"/>
        <v>0</v>
      </c>
      <c r="P18" s="14">
        <f t="shared" si="7"/>
        <v>0</v>
      </c>
      <c r="Q18" s="15">
        <f t="shared" si="7"/>
        <v>0</v>
      </c>
      <c r="R18" s="15">
        <f t="shared" si="7"/>
        <v>0</v>
      </c>
      <c r="S18" s="15">
        <f t="shared" si="7"/>
        <v>0</v>
      </c>
      <c r="T18" s="15">
        <f t="shared" si="7"/>
        <v>0</v>
      </c>
      <c r="U18" s="15">
        <f t="shared" si="7"/>
        <v>0</v>
      </c>
      <c r="V18" s="15">
        <f t="shared" si="7"/>
        <v>0</v>
      </c>
      <c r="W18" s="15">
        <f t="shared" si="7"/>
        <v>0</v>
      </c>
      <c r="X18" s="15">
        <f t="shared" si="7"/>
        <v>0</v>
      </c>
      <c r="Y18" s="15">
        <f t="shared" si="7"/>
        <v>0</v>
      </c>
      <c r="Z18" s="15">
        <f t="shared" si="8"/>
        <v>0</v>
      </c>
      <c r="AA18" s="15">
        <f t="shared" si="8"/>
        <v>0</v>
      </c>
      <c r="AB18" s="15">
        <f t="shared" si="8"/>
        <v>0</v>
      </c>
      <c r="AC18" s="15">
        <f t="shared" si="8"/>
        <v>0</v>
      </c>
      <c r="AD18" s="15">
        <f t="shared" si="8"/>
        <v>0</v>
      </c>
      <c r="AE18" s="15">
        <f t="shared" si="8"/>
        <v>0</v>
      </c>
      <c r="AF18" s="15">
        <f t="shared" si="8"/>
        <v>0</v>
      </c>
      <c r="AG18" s="15">
        <f t="shared" si="8"/>
        <v>0</v>
      </c>
      <c r="AH18" s="15">
        <f t="shared" si="8"/>
        <v>0</v>
      </c>
      <c r="AI18" s="15">
        <f t="shared" si="8"/>
        <v>0</v>
      </c>
      <c r="AJ18" s="15">
        <f t="shared" si="9"/>
        <v>0</v>
      </c>
      <c r="AK18" s="15">
        <f t="shared" si="9"/>
        <v>0</v>
      </c>
      <c r="AL18" s="15">
        <f t="shared" si="9"/>
        <v>0</v>
      </c>
      <c r="AM18" s="15">
        <f t="shared" si="9"/>
        <v>0</v>
      </c>
      <c r="AN18" s="15">
        <f t="shared" si="9"/>
        <v>0</v>
      </c>
      <c r="AO18" s="15">
        <f t="shared" si="9"/>
        <v>0</v>
      </c>
      <c r="AP18" s="15">
        <f t="shared" si="9"/>
        <v>0</v>
      </c>
      <c r="AQ18" s="15">
        <f t="shared" si="9"/>
        <v>0</v>
      </c>
      <c r="AR18" s="15">
        <f t="shared" si="9"/>
        <v>0</v>
      </c>
      <c r="AS18" s="15">
        <f t="shared" si="9"/>
        <v>0</v>
      </c>
      <c r="AT18" s="15">
        <f t="shared" si="10"/>
        <v>0</v>
      </c>
      <c r="AU18" s="15">
        <f t="shared" si="10"/>
        <v>0</v>
      </c>
      <c r="AV18" s="15">
        <f t="shared" si="10"/>
        <v>0</v>
      </c>
      <c r="AW18" s="15">
        <f t="shared" si="10"/>
        <v>0</v>
      </c>
      <c r="AX18" s="15">
        <f t="shared" si="10"/>
        <v>0</v>
      </c>
      <c r="AY18" s="15">
        <f t="shared" si="10"/>
        <v>0</v>
      </c>
      <c r="AZ18" s="15">
        <f t="shared" si="10"/>
        <v>0</v>
      </c>
      <c r="BA18" s="15">
        <f t="shared" si="10"/>
        <v>0</v>
      </c>
      <c r="BB18" s="15">
        <f t="shared" si="10"/>
        <v>0</v>
      </c>
      <c r="BC18" s="15">
        <f t="shared" si="10"/>
        <v>0</v>
      </c>
      <c r="BD18" s="15">
        <f t="shared" si="10"/>
        <v>0</v>
      </c>
      <c r="BE18" s="16">
        <f t="shared" si="10"/>
        <v>0</v>
      </c>
    </row>
    <row r="19" spans="1:57" x14ac:dyDescent="0.25">
      <c r="A19" t="s">
        <v>52</v>
      </c>
      <c r="B19">
        <v>219.75</v>
      </c>
      <c r="C19">
        <v>563.25</v>
      </c>
      <c r="D19" t="s">
        <v>56</v>
      </c>
      <c r="E19">
        <v>219.75</v>
      </c>
      <c r="F19">
        <v>563.25</v>
      </c>
      <c r="J19" t="str">
        <f t="shared" si="6"/>
        <v>Proposed Stock Purchase n</v>
      </c>
      <c r="M19">
        <f t="shared" si="0"/>
        <v>604.59955755855458</v>
      </c>
      <c r="N19" s="1">
        <f t="shared" si="1"/>
        <v>0</v>
      </c>
      <c r="P19" s="14">
        <f t="shared" si="7"/>
        <v>0</v>
      </c>
      <c r="Q19" s="15">
        <f t="shared" si="7"/>
        <v>0</v>
      </c>
      <c r="R19" s="15">
        <f t="shared" si="7"/>
        <v>0</v>
      </c>
      <c r="S19" s="15">
        <f t="shared" si="7"/>
        <v>0</v>
      </c>
      <c r="T19" s="15">
        <f t="shared" si="7"/>
        <v>0</v>
      </c>
      <c r="U19" s="15">
        <f t="shared" si="7"/>
        <v>1</v>
      </c>
      <c r="V19" s="15">
        <f t="shared" si="7"/>
        <v>0</v>
      </c>
      <c r="W19" s="15">
        <f t="shared" si="7"/>
        <v>1</v>
      </c>
      <c r="X19" s="15">
        <f t="shared" si="7"/>
        <v>0</v>
      </c>
      <c r="Y19" s="15">
        <f t="shared" si="7"/>
        <v>1</v>
      </c>
      <c r="Z19" s="15">
        <f t="shared" si="8"/>
        <v>1</v>
      </c>
      <c r="AA19" s="15">
        <f t="shared" si="8"/>
        <v>0</v>
      </c>
      <c r="AB19" s="15">
        <f t="shared" si="8"/>
        <v>1</v>
      </c>
      <c r="AC19" s="15">
        <f t="shared" si="8"/>
        <v>0</v>
      </c>
      <c r="AD19" s="15">
        <f t="shared" si="8"/>
        <v>1</v>
      </c>
      <c r="AE19" s="15">
        <f t="shared" si="8"/>
        <v>0</v>
      </c>
      <c r="AF19" s="15">
        <f t="shared" si="8"/>
        <v>0</v>
      </c>
      <c r="AG19" s="15">
        <f t="shared" si="8"/>
        <v>0</v>
      </c>
      <c r="AH19" s="15">
        <f t="shared" si="8"/>
        <v>0</v>
      </c>
      <c r="AI19" s="15">
        <f t="shared" si="8"/>
        <v>0</v>
      </c>
      <c r="AJ19" s="15">
        <f t="shared" si="9"/>
        <v>0</v>
      </c>
      <c r="AK19" s="15">
        <f t="shared" si="9"/>
        <v>0</v>
      </c>
      <c r="AL19" s="15">
        <f t="shared" si="9"/>
        <v>0</v>
      </c>
      <c r="AM19" s="15">
        <f t="shared" si="9"/>
        <v>0</v>
      </c>
      <c r="AN19" s="15">
        <f t="shared" si="9"/>
        <v>0</v>
      </c>
      <c r="AO19" s="15">
        <f t="shared" si="9"/>
        <v>0</v>
      </c>
      <c r="AP19" s="15">
        <f t="shared" si="9"/>
        <v>0</v>
      </c>
      <c r="AQ19" s="15">
        <f t="shared" si="9"/>
        <v>1</v>
      </c>
      <c r="AR19" s="15">
        <f t="shared" si="9"/>
        <v>0</v>
      </c>
      <c r="AS19" s="15">
        <f t="shared" si="9"/>
        <v>0</v>
      </c>
      <c r="AT19" s="15">
        <f t="shared" si="10"/>
        <v>0</v>
      </c>
      <c r="AU19" s="15">
        <f t="shared" si="10"/>
        <v>0</v>
      </c>
      <c r="AV19" s="15">
        <f t="shared" si="10"/>
        <v>0</v>
      </c>
      <c r="AW19" s="15">
        <f t="shared" si="10"/>
        <v>0</v>
      </c>
      <c r="AX19" s="15">
        <f t="shared" si="10"/>
        <v>0</v>
      </c>
      <c r="AY19" s="15">
        <f t="shared" si="10"/>
        <v>0</v>
      </c>
      <c r="AZ19" s="15">
        <f t="shared" si="10"/>
        <v>0</v>
      </c>
      <c r="BA19" s="15">
        <f t="shared" si="10"/>
        <v>0</v>
      </c>
      <c r="BB19" s="15">
        <f t="shared" si="10"/>
        <v>0</v>
      </c>
      <c r="BC19" s="15">
        <f t="shared" si="10"/>
        <v>0</v>
      </c>
      <c r="BD19" s="15">
        <f t="shared" si="10"/>
        <v>0</v>
      </c>
      <c r="BE19" s="16">
        <f t="shared" si="10"/>
        <v>0</v>
      </c>
    </row>
    <row r="20" spans="1:57" x14ac:dyDescent="0.25">
      <c r="A20" t="s">
        <v>121</v>
      </c>
      <c r="B20">
        <v>219.75</v>
      </c>
      <c r="C20">
        <v>612.75</v>
      </c>
      <c r="D20" t="s">
        <v>10</v>
      </c>
      <c r="E20">
        <v>219.75</v>
      </c>
      <c r="F20">
        <v>612.75</v>
      </c>
      <c r="J20" t="str">
        <f t="shared" si="6"/>
        <v>Stock Purchase</v>
      </c>
      <c r="M20">
        <f t="shared" si="0"/>
        <v>650.96284456180751</v>
      </c>
      <c r="N20" s="1">
        <f t="shared" si="1"/>
        <v>0</v>
      </c>
      <c r="P20" s="14">
        <f t="shared" si="7"/>
        <v>0</v>
      </c>
      <c r="Q20" s="15">
        <f t="shared" si="7"/>
        <v>0</v>
      </c>
      <c r="R20" s="15">
        <f t="shared" si="7"/>
        <v>0</v>
      </c>
      <c r="S20" s="15">
        <f t="shared" si="7"/>
        <v>0</v>
      </c>
      <c r="T20" s="15">
        <f t="shared" si="7"/>
        <v>0</v>
      </c>
      <c r="U20" s="15">
        <f t="shared" si="7"/>
        <v>0</v>
      </c>
      <c r="V20" s="15">
        <f t="shared" si="7"/>
        <v>0</v>
      </c>
      <c r="W20" s="15">
        <f t="shared" si="7"/>
        <v>0</v>
      </c>
      <c r="X20" s="15">
        <f t="shared" si="7"/>
        <v>0</v>
      </c>
      <c r="Y20" s="15">
        <f t="shared" si="7"/>
        <v>0</v>
      </c>
      <c r="Z20" s="15">
        <f t="shared" si="8"/>
        <v>0</v>
      </c>
      <c r="AA20" s="15">
        <f t="shared" si="8"/>
        <v>0</v>
      </c>
      <c r="AB20" s="15">
        <f t="shared" si="8"/>
        <v>0</v>
      </c>
      <c r="AC20" s="15">
        <f t="shared" si="8"/>
        <v>0</v>
      </c>
      <c r="AD20" s="15">
        <f t="shared" si="8"/>
        <v>0</v>
      </c>
      <c r="AE20" s="15">
        <f t="shared" si="8"/>
        <v>0</v>
      </c>
      <c r="AF20" s="15">
        <f t="shared" si="8"/>
        <v>0</v>
      </c>
      <c r="AG20" s="15">
        <f t="shared" si="8"/>
        <v>0</v>
      </c>
      <c r="AH20" s="15">
        <f t="shared" si="8"/>
        <v>0</v>
      </c>
      <c r="AI20" s="15">
        <f t="shared" si="8"/>
        <v>0</v>
      </c>
      <c r="AJ20" s="15">
        <f t="shared" si="9"/>
        <v>0</v>
      </c>
      <c r="AK20" s="15">
        <f t="shared" si="9"/>
        <v>0</v>
      </c>
      <c r="AL20" s="15">
        <f t="shared" si="9"/>
        <v>0</v>
      </c>
      <c r="AM20" s="15">
        <f t="shared" si="9"/>
        <v>0</v>
      </c>
      <c r="AN20" s="15">
        <f t="shared" si="9"/>
        <v>0</v>
      </c>
      <c r="AO20" s="15">
        <f t="shared" si="9"/>
        <v>0</v>
      </c>
      <c r="AP20" s="15">
        <f t="shared" si="9"/>
        <v>0</v>
      </c>
      <c r="AQ20" s="15">
        <f t="shared" si="9"/>
        <v>0</v>
      </c>
      <c r="AR20" s="15">
        <f t="shared" si="9"/>
        <v>0</v>
      </c>
      <c r="AS20" s="15">
        <f t="shared" si="9"/>
        <v>0</v>
      </c>
      <c r="AT20" s="15">
        <f t="shared" si="10"/>
        <v>0</v>
      </c>
      <c r="AU20" s="15">
        <f t="shared" si="10"/>
        <v>0</v>
      </c>
      <c r="AV20" s="15">
        <f t="shared" si="10"/>
        <v>0</v>
      </c>
      <c r="AW20" s="15">
        <f t="shared" si="10"/>
        <v>0</v>
      </c>
      <c r="AX20" s="15">
        <f t="shared" si="10"/>
        <v>0</v>
      </c>
      <c r="AY20" s="15">
        <f t="shared" si="10"/>
        <v>0</v>
      </c>
      <c r="AZ20" s="15">
        <f t="shared" si="10"/>
        <v>0</v>
      </c>
      <c r="BA20" s="15">
        <f t="shared" si="10"/>
        <v>0</v>
      </c>
      <c r="BB20" s="15">
        <f t="shared" si="10"/>
        <v>0</v>
      </c>
      <c r="BC20" s="15">
        <f t="shared" si="10"/>
        <v>0</v>
      </c>
      <c r="BD20" s="15">
        <f t="shared" si="10"/>
        <v>0</v>
      </c>
      <c r="BE20" s="16">
        <f t="shared" si="10"/>
        <v>0</v>
      </c>
    </row>
    <row r="21" spans="1:57" x14ac:dyDescent="0.25">
      <c r="A21" t="s">
        <v>63</v>
      </c>
      <c r="B21">
        <v>219.75</v>
      </c>
      <c r="C21">
        <v>834.75</v>
      </c>
      <c r="D21" t="s">
        <v>65</v>
      </c>
      <c r="E21">
        <v>219.75</v>
      </c>
      <c r="F21">
        <v>834.75</v>
      </c>
      <c r="J21" t="str">
        <f t="shared" si="6"/>
        <v>Stock Purchase n-1</v>
      </c>
      <c r="M21">
        <f t="shared" si="0"/>
        <v>863.19037587313267</v>
      </c>
      <c r="N21" s="1">
        <f t="shared" si="1"/>
        <v>0</v>
      </c>
      <c r="P21" s="14">
        <f t="shared" si="7"/>
        <v>0</v>
      </c>
      <c r="Q21" s="15">
        <f t="shared" si="7"/>
        <v>0</v>
      </c>
      <c r="R21" s="15">
        <f t="shared" si="7"/>
        <v>0</v>
      </c>
      <c r="S21" s="15">
        <f t="shared" si="7"/>
        <v>0</v>
      </c>
      <c r="T21" s="15">
        <f t="shared" si="7"/>
        <v>0</v>
      </c>
      <c r="U21" s="15">
        <f t="shared" si="7"/>
        <v>0</v>
      </c>
      <c r="V21" s="15">
        <f t="shared" si="7"/>
        <v>0</v>
      </c>
      <c r="W21" s="15">
        <f t="shared" si="7"/>
        <v>0</v>
      </c>
      <c r="X21" s="15">
        <f t="shared" si="7"/>
        <v>0</v>
      </c>
      <c r="Y21" s="15">
        <f t="shared" si="7"/>
        <v>0</v>
      </c>
      <c r="Z21" s="15">
        <f t="shared" si="8"/>
        <v>0</v>
      </c>
      <c r="AA21" s="15">
        <f t="shared" si="8"/>
        <v>0</v>
      </c>
      <c r="AB21" s="15">
        <f t="shared" si="8"/>
        <v>0</v>
      </c>
      <c r="AC21" s="15">
        <f t="shared" si="8"/>
        <v>0</v>
      </c>
      <c r="AD21" s="15">
        <f t="shared" si="8"/>
        <v>0</v>
      </c>
      <c r="AE21" s="15">
        <f t="shared" si="8"/>
        <v>0</v>
      </c>
      <c r="AF21" s="15">
        <f t="shared" si="8"/>
        <v>0</v>
      </c>
      <c r="AG21" s="15">
        <f t="shared" si="8"/>
        <v>0</v>
      </c>
      <c r="AH21" s="15">
        <f t="shared" si="8"/>
        <v>0</v>
      </c>
      <c r="AI21" s="15">
        <f t="shared" si="8"/>
        <v>0</v>
      </c>
      <c r="AJ21" s="15">
        <f t="shared" si="9"/>
        <v>0</v>
      </c>
      <c r="AK21" s="15">
        <f t="shared" si="9"/>
        <v>0</v>
      </c>
      <c r="AL21" s="15">
        <f t="shared" si="9"/>
        <v>0</v>
      </c>
      <c r="AM21" s="15">
        <f t="shared" si="9"/>
        <v>0</v>
      </c>
      <c r="AN21" s="15">
        <f t="shared" si="9"/>
        <v>0</v>
      </c>
      <c r="AO21" s="15">
        <f t="shared" si="9"/>
        <v>0</v>
      </c>
      <c r="AP21" s="15">
        <f t="shared" si="9"/>
        <v>0</v>
      </c>
      <c r="AQ21" s="15">
        <f t="shared" si="9"/>
        <v>0</v>
      </c>
      <c r="AR21" s="15">
        <f t="shared" si="9"/>
        <v>0</v>
      </c>
      <c r="AS21" s="15">
        <f t="shared" si="9"/>
        <v>0</v>
      </c>
      <c r="AT21" s="15">
        <f t="shared" si="10"/>
        <v>0</v>
      </c>
      <c r="AU21" s="15">
        <f t="shared" si="10"/>
        <v>0</v>
      </c>
      <c r="AV21" s="15">
        <f t="shared" si="10"/>
        <v>0</v>
      </c>
      <c r="AW21" s="15">
        <f t="shared" si="10"/>
        <v>0</v>
      </c>
      <c r="AX21" s="15">
        <f t="shared" si="10"/>
        <v>0</v>
      </c>
      <c r="AY21" s="15">
        <f t="shared" si="10"/>
        <v>0</v>
      </c>
      <c r="AZ21" s="15">
        <f t="shared" si="10"/>
        <v>0</v>
      </c>
      <c r="BA21" s="15">
        <f t="shared" si="10"/>
        <v>0</v>
      </c>
      <c r="BB21" s="15">
        <f t="shared" si="10"/>
        <v>0</v>
      </c>
      <c r="BC21" s="15">
        <f t="shared" si="10"/>
        <v>0</v>
      </c>
      <c r="BD21" s="15">
        <f t="shared" si="10"/>
        <v>0</v>
      </c>
      <c r="BE21" s="16">
        <f t="shared" si="10"/>
        <v>0</v>
      </c>
    </row>
    <row r="22" spans="1:57" x14ac:dyDescent="0.25">
      <c r="A22" t="s">
        <v>62</v>
      </c>
      <c r="B22">
        <v>219.75</v>
      </c>
      <c r="C22">
        <v>859.5</v>
      </c>
      <c r="D22" t="s">
        <v>67</v>
      </c>
      <c r="E22">
        <v>219.75</v>
      </c>
      <c r="F22">
        <v>859.5</v>
      </c>
      <c r="J22" t="str">
        <f t="shared" si="6"/>
        <v>Stock Purchase n</v>
      </c>
      <c r="M22">
        <f t="shared" si="0"/>
        <v>887.14728906760456</v>
      </c>
      <c r="N22" s="1">
        <f t="shared" si="1"/>
        <v>0</v>
      </c>
      <c r="P22" s="14">
        <f t="shared" ref="P22:Y31" si="11">COUNTIFS($G$44:$G$78,$J22,$H$44:$H$78,P$1)</f>
        <v>0</v>
      </c>
      <c r="Q22" s="15">
        <f t="shared" si="11"/>
        <v>0</v>
      </c>
      <c r="R22" s="15">
        <f t="shared" si="11"/>
        <v>0</v>
      </c>
      <c r="S22" s="15">
        <f t="shared" si="11"/>
        <v>0</v>
      </c>
      <c r="T22" s="15">
        <f t="shared" si="11"/>
        <v>0</v>
      </c>
      <c r="U22" s="15">
        <f t="shared" si="11"/>
        <v>0</v>
      </c>
      <c r="V22" s="15">
        <f t="shared" si="11"/>
        <v>0</v>
      </c>
      <c r="W22" s="15">
        <f t="shared" si="11"/>
        <v>0</v>
      </c>
      <c r="X22" s="15">
        <f t="shared" si="11"/>
        <v>0</v>
      </c>
      <c r="Y22" s="15">
        <f t="shared" si="11"/>
        <v>0</v>
      </c>
      <c r="Z22" s="15">
        <f t="shared" ref="Z22:AI31" si="12">COUNTIFS($G$44:$G$78,$J22,$H$44:$H$78,Z$1)</f>
        <v>0</v>
      </c>
      <c r="AA22" s="15">
        <f t="shared" si="12"/>
        <v>0</v>
      </c>
      <c r="AB22" s="15">
        <f t="shared" si="12"/>
        <v>0</v>
      </c>
      <c r="AC22" s="15">
        <f t="shared" si="12"/>
        <v>0</v>
      </c>
      <c r="AD22" s="15">
        <f t="shared" si="12"/>
        <v>0</v>
      </c>
      <c r="AE22" s="15">
        <f t="shared" si="12"/>
        <v>0</v>
      </c>
      <c r="AF22" s="15">
        <f t="shared" si="12"/>
        <v>0</v>
      </c>
      <c r="AG22" s="15">
        <f t="shared" si="12"/>
        <v>1</v>
      </c>
      <c r="AH22" s="15">
        <f t="shared" si="12"/>
        <v>0</v>
      </c>
      <c r="AI22" s="15">
        <f t="shared" si="12"/>
        <v>0</v>
      </c>
      <c r="AJ22" s="15">
        <f t="shared" ref="AJ22:AS31" si="13">COUNTIFS($G$44:$G$78,$J22,$H$44:$H$78,AJ$1)</f>
        <v>0</v>
      </c>
      <c r="AK22" s="15">
        <f t="shared" si="13"/>
        <v>0</v>
      </c>
      <c r="AL22" s="15">
        <f t="shared" si="13"/>
        <v>0</v>
      </c>
      <c r="AM22" s="15">
        <f t="shared" si="13"/>
        <v>0</v>
      </c>
      <c r="AN22" s="15">
        <f t="shared" si="13"/>
        <v>0</v>
      </c>
      <c r="AO22" s="15">
        <f t="shared" si="13"/>
        <v>0</v>
      </c>
      <c r="AP22" s="15">
        <f t="shared" si="13"/>
        <v>0</v>
      </c>
      <c r="AQ22" s="15">
        <f t="shared" si="13"/>
        <v>1</v>
      </c>
      <c r="AR22" s="15">
        <f t="shared" si="13"/>
        <v>0</v>
      </c>
      <c r="AS22" s="15">
        <f t="shared" si="13"/>
        <v>0</v>
      </c>
      <c r="AT22" s="15">
        <f t="shared" ref="AT22:BE31" si="14">COUNTIFS($G$44:$G$78,$J22,$H$44:$H$78,AT$1)</f>
        <v>0</v>
      </c>
      <c r="AU22" s="15">
        <f t="shared" si="14"/>
        <v>0</v>
      </c>
      <c r="AV22" s="15">
        <f t="shared" si="14"/>
        <v>0</v>
      </c>
      <c r="AW22" s="15">
        <f t="shared" si="14"/>
        <v>0</v>
      </c>
      <c r="AX22" s="15">
        <f t="shared" si="14"/>
        <v>0</v>
      </c>
      <c r="AY22" s="15">
        <f t="shared" si="14"/>
        <v>0</v>
      </c>
      <c r="AZ22" s="15">
        <f t="shared" si="14"/>
        <v>0</v>
      </c>
      <c r="BA22" s="15">
        <f t="shared" si="14"/>
        <v>0</v>
      </c>
      <c r="BB22" s="15">
        <f t="shared" si="14"/>
        <v>0</v>
      </c>
      <c r="BC22" s="15">
        <f t="shared" si="14"/>
        <v>0</v>
      </c>
      <c r="BD22" s="15">
        <f t="shared" si="14"/>
        <v>0</v>
      </c>
      <c r="BE22" s="16">
        <f t="shared" si="14"/>
        <v>1</v>
      </c>
    </row>
    <row r="23" spans="1:57" x14ac:dyDescent="0.25">
      <c r="A23" t="s">
        <v>125</v>
      </c>
      <c r="B23">
        <v>219.75</v>
      </c>
      <c r="C23">
        <v>1118.25</v>
      </c>
      <c r="D23" t="s">
        <v>23</v>
      </c>
      <c r="E23">
        <v>219.75</v>
      </c>
      <c r="F23">
        <v>1118.25</v>
      </c>
      <c r="J23" t="str">
        <f t="shared" si="6"/>
        <v>Costs and provisions</v>
      </c>
      <c r="M23">
        <f t="shared" si="0"/>
        <v>1139.6372778213251</v>
      </c>
      <c r="N23" s="1">
        <f t="shared" si="1"/>
        <v>0</v>
      </c>
      <c r="P23" s="14">
        <f t="shared" si="11"/>
        <v>0</v>
      </c>
      <c r="Q23" s="15">
        <f t="shared" si="11"/>
        <v>0</v>
      </c>
      <c r="R23" s="15">
        <f t="shared" si="11"/>
        <v>0</v>
      </c>
      <c r="S23" s="15">
        <f t="shared" si="11"/>
        <v>0</v>
      </c>
      <c r="T23" s="15">
        <f t="shared" si="11"/>
        <v>0</v>
      </c>
      <c r="U23" s="15">
        <f t="shared" si="11"/>
        <v>0</v>
      </c>
      <c r="V23" s="15">
        <f t="shared" si="11"/>
        <v>0</v>
      </c>
      <c r="W23" s="15">
        <f t="shared" si="11"/>
        <v>0</v>
      </c>
      <c r="X23" s="15">
        <f t="shared" si="11"/>
        <v>0</v>
      </c>
      <c r="Y23" s="15">
        <f t="shared" si="11"/>
        <v>0</v>
      </c>
      <c r="Z23" s="15">
        <f t="shared" si="12"/>
        <v>0</v>
      </c>
      <c r="AA23" s="15">
        <f t="shared" si="12"/>
        <v>0</v>
      </c>
      <c r="AB23" s="15">
        <f t="shared" si="12"/>
        <v>0</v>
      </c>
      <c r="AC23" s="15">
        <f t="shared" si="12"/>
        <v>0</v>
      </c>
      <c r="AD23" s="15">
        <f t="shared" si="12"/>
        <v>0</v>
      </c>
      <c r="AE23" s="15">
        <f t="shared" si="12"/>
        <v>0</v>
      </c>
      <c r="AF23" s="15">
        <f t="shared" si="12"/>
        <v>0</v>
      </c>
      <c r="AG23" s="15">
        <f t="shared" si="12"/>
        <v>0</v>
      </c>
      <c r="AH23" s="15">
        <f t="shared" si="12"/>
        <v>0</v>
      </c>
      <c r="AI23" s="15">
        <f t="shared" si="12"/>
        <v>0</v>
      </c>
      <c r="AJ23" s="15">
        <f t="shared" si="13"/>
        <v>0</v>
      </c>
      <c r="AK23" s="15">
        <f t="shared" si="13"/>
        <v>0</v>
      </c>
      <c r="AL23" s="15">
        <f t="shared" si="13"/>
        <v>0</v>
      </c>
      <c r="AM23" s="15">
        <f t="shared" si="13"/>
        <v>0</v>
      </c>
      <c r="AN23" s="15">
        <f t="shared" si="13"/>
        <v>0</v>
      </c>
      <c r="AO23" s="15">
        <f t="shared" si="13"/>
        <v>0</v>
      </c>
      <c r="AP23" s="15">
        <f t="shared" si="13"/>
        <v>0</v>
      </c>
      <c r="AQ23" s="15">
        <f t="shared" si="13"/>
        <v>0</v>
      </c>
      <c r="AR23" s="15">
        <f t="shared" si="13"/>
        <v>0</v>
      </c>
      <c r="AS23" s="15">
        <f t="shared" si="13"/>
        <v>0</v>
      </c>
      <c r="AT23" s="15">
        <f t="shared" si="14"/>
        <v>0</v>
      </c>
      <c r="AU23" s="15">
        <f t="shared" si="14"/>
        <v>0</v>
      </c>
      <c r="AV23" s="15">
        <f t="shared" si="14"/>
        <v>0</v>
      </c>
      <c r="AW23" s="15">
        <f t="shared" si="14"/>
        <v>0</v>
      </c>
      <c r="AX23" s="15">
        <f t="shared" si="14"/>
        <v>0</v>
      </c>
      <c r="AY23" s="15">
        <f t="shared" si="14"/>
        <v>0</v>
      </c>
      <c r="AZ23" s="15">
        <f t="shared" si="14"/>
        <v>0</v>
      </c>
      <c r="BA23" s="15">
        <f t="shared" si="14"/>
        <v>0</v>
      </c>
      <c r="BB23" s="15">
        <f t="shared" si="14"/>
        <v>0</v>
      </c>
      <c r="BC23" s="15">
        <f t="shared" si="14"/>
        <v>0</v>
      </c>
      <c r="BD23" s="15">
        <f t="shared" si="14"/>
        <v>0</v>
      </c>
      <c r="BE23" s="16">
        <f t="shared" si="14"/>
        <v>0</v>
      </c>
    </row>
    <row r="24" spans="1:57" x14ac:dyDescent="0.25">
      <c r="A24" t="s">
        <v>103</v>
      </c>
      <c r="B24">
        <v>219.75</v>
      </c>
      <c r="C24">
        <v>1257.75</v>
      </c>
      <c r="D24" t="s">
        <v>115</v>
      </c>
      <c r="E24">
        <v>219.75</v>
      </c>
      <c r="F24">
        <v>1257.75</v>
      </c>
      <c r="J24" t="str">
        <f t="shared" si="6"/>
        <v>Costs and provisions n</v>
      </c>
      <c r="M24">
        <f t="shared" si="0"/>
        <v>1276.8026961907624</v>
      </c>
      <c r="N24" s="1">
        <f t="shared" si="1"/>
        <v>0</v>
      </c>
      <c r="P24" s="14">
        <f t="shared" si="11"/>
        <v>0</v>
      </c>
      <c r="Q24" s="15">
        <f t="shared" si="11"/>
        <v>0</v>
      </c>
      <c r="R24" s="15">
        <f t="shared" si="11"/>
        <v>0</v>
      </c>
      <c r="S24" s="15">
        <f t="shared" si="11"/>
        <v>0</v>
      </c>
      <c r="T24" s="15">
        <f t="shared" si="11"/>
        <v>0</v>
      </c>
      <c r="U24" s="15">
        <f t="shared" si="11"/>
        <v>0</v>
      </c>
      <c r="V24" s="15">
        <f t="shared" si="11"/>
        <v>0</v>
      </c>
      <c r="W24" s="15">
        <f t="shared" si="11"/>
        <v>0</v>
      </c>
      <c r="X24" s="15">
        <f t="shared" si="11"/>
        <v>0</v>
      </c>
      <c r="Y24" s="15">
        <f t="shared" si="11"/>
        <v>0</v>
      </c>
      <c r="Z24" s="15">
        <f t="shared" si="12"/>
        <v>0</v>
      </c>
      <c r="AA24" s="15">
        <f t="shared" si="12"/>
        <v>0</v>
      </c>
      <c r="AB24" s="15">
        <f t="shared" si="12"/>
        <v>0</v>
      </c>
      <c r="AC24" s="15">
        <f t="shared" si="12"/>
        <v>0</v>
      </c>
      <c r="AD24" s="15">
        <f t="shared" si="12"/>
        <v>0</v>
      </c>
      <c r="AE24" s="15">
        <f t="shared" si="12"/>
        <v>0</v>
      </c>
      <c r="AF24" s="15">
        <f t="shared" si="12"/>
        <v>0</v>
      </c>
      <c r="AG24" s="15">
        <f t="shared" si="12"/>
        <v>0</v>
      </c>
      <c r="AH24" s="15">
        <f t="shared" si="12"/>
        <v>0</v>
      </c>
      <c r="AI24" s="15">
        <f t="shared" si="12"/>
        <v>0</v>
      </c>
      <c r="AJ24" s="15">
        <f t="shared" si="13"/>
        <v>0</v>
      </c>
      <c r="AK24" s="15">
        <f t="shared" si="13"/>
        <v>0</v>
      </c>
      <c r="AL24" s="15">
        <f t="shared" si="13"/>
        <v>0</v>
      </c>
      <c r="AM24" s="15">
        <f t="shared" si="13"/>
        <v>0</v>
      </c>
      <c r="AN24" s="15">
        <f t="shared" si="13"/>
        <v>0</v>
      </c>
      <c r="AO24" s="15">
        <f t="shared" si="13"/>
        <v>0</v>
      </c>
      <c r="AP24" s="15">
        <f t="shared" si="13"/>
        <v>0</v>
      </c>
      <c r="AQ24" s="15">
        <f t="shared" si="13"/>
        <v>0</v>
      </c>
      <c r="AR24" s="15">
        <f t="shared" si="13"/>
        <v>0</v>
      </c>
      <c r="AS24" s="15">
        <f t="shared" si="13"/>
        <v>0</v>
      </c>
      <c r="AT24" s="15">
        <f t="shared" si="14"/>
        <v>0</v>
      </c>
      <c r="AU24" s="15">
        <f t="shared" si="14"/>
        <v>0</v>
      </c>
      <c r="AV24" s="15">
        <f t="shared" si="14"/>
        <v>0</v>
      </c>
      <c r="AW24" s="15">
        <f t="shared" si="14"/>
        <v>0</v>
      </c>
      <c r="AX24" s="15">
        <f t="shared" si="14"/>
        <v>0</v>
      </c>
      <c r="AY24" s="15">
        <f t="shared" si="14"/>
        <v>0</v>
      </c>
      <c r="AZ24" s="15">
        <f t="shared" si="14"/>
        <v>0</v>
      </c>
      <c r="BA24" s="15">
        <f t="shared" si="14"/>
        <v>0</v>
      </c>
      <c r="BB24" s="15">
        <f t="shared" si="14"/>
        <v>0</v>
      </c>
      <c r="BC24" s="15">
        <f t="shared" si="14"/>
        <v>0</v>
      </c>
      <c r="BD24" s="15">
        <f t="shared" si="14"/>
        <v>0</v>
      </c>
      <c r="BE24" s="16">
        <f t="shared" si="14"/>
        <v>0</v>
      </c>
    </row>
    <row r="25" spans="1:57" x14ac:dyDescent="0.25">
      <c r="A25" t="s">
        <v>120</v>
      </c>
      <c r="B25">
        <v>419.25</v>
      </c>
      <c r="C25">
        <v>220.5</v>
      </c>
      <c r="D25" t="s">
        <v>9</v>
      </c>
      <c r="E25">
        <v>419.25</v>
      </c>
      <c r="F25">
        <v>220.5</v>
      </c>
      <c r="J25" t="str">
        <f t="shared" si="6"/>
        <v>Opening stock</v>
      </c>
      <c r="M25">
        <f t="shared" si="0"/>
        <v>473.69907377996844</v>
      </c>
      <c r="N25" s="1">
        <f t="shared" si="1"/>
        <v>0</v>
      </c>
      <c r="P25" s="14">
        <f t="shared" si="11"/>
        <v>0</v>
      </c>
      <c r="Q25" s="15">
        <f t="shared" si="11"/>
        <v>0</v>
      </c>
      <c r="R25" s="15">
        <f t="shared" si="11"/>
        <v>0</v>
      </c>
      <c r="S25" s="15">
        <f t="shared" si="11"/>
        <v>0</v>
      </c>
      <c r="T25" s="15">
        <f t="shared" si="11"/>
        <v>0</v>
      </c>
      <c r="U25" s="15">
        <f t="shared" si="11"/>
        <v>0</v>
      </c>
      <c r="V25" s="15">
        <f t="shared" si="11"/>
        <v>0</v>
      </c>
      <c r="W25" s="15">
        <f t="shared" si="11"/>
        <v>0</v>
      </c>
      <c r="X25" s="15">
        <f t="shared" si="11"/>
        <v>0</v>
      </c>
      <c r="Y25" s="15">
        <f t="shared" si="11"/>
        <v>0</v>
      </c>
      <c r="Z25" s="15">
        <f t="shared" si="12"/>
        <v>0</v>
      </c>
      <c r="AA25" s="15">
        <f t="shared" si="12"/>
        <v>0</v>
      </c>
      <c r="AB25" s="15">
        <f t="shared" si="12"/>
        <v>0</v>
      </c>
      <c r="AC25" s="15">
        <f t="shared" si="12"/>
        <v>0</v>
      </c>
      <c r="AD25" s="15">
        <f t="shared" si="12"/>
        <v>0</v>
      </c>
      <c r="AE25" s="15">
        <f t="shared" si="12"/>
        <v>0</v>
      </c>
      <c r="AF25" s="15">
        <f t="shared" si="12"/>
        <v>0</v>
      </c>
      <c r="AG25" s="15">
        <f t="shared" si="12"/>
        <v>0</v>
      </c>
      <c r="AH25" s="15">
        <f t="shared" si="12"/>
        <v>0</v>
      </c>
      <c r="AI25" s="15">
        <f t="shared" si="12"/>
        <v>0</v>
      </c>
      <c r="AJ25" s="15">
        <f t="shared" si="13"/>
        <v>0</v>
      </c>
      <c r="AK25" s="15">
        <f t="shared" si="13"/>
        <v>0</v>
      </c>
      <c r="AL25" s="15">
        <f t="shared" si="13"/>
        <v>0</v>
      </c>
      <c r="AM25" s="15">
        <f t="shared" si="13"/>
        <v>0</v>
      </c>
      <c r="AN25" s="15">
        <f t="shared" si="13"/>
        <v>0</v>
      </c>
      <c r="AO25" s="15">
        <f t="shared" si="13"/>
        <v>0</v>
      </c>
      <c r="AP25" s="15">
        <f t="shared" si="13"/>
        <v>0</v>
      </c>
      <c r="AQ25" s="15">
        <f t="shared" si="13"/>
        <v>0</v>
      </c>
      <c r="AR25" s="15">
        <f t="shared" si="13"/>
        <v>0</v>
      </c>
      <c r="AS25" s="15">
        <f t="shared" si="13"/>
        <v>0</v>
      </c>
      <c r="AT25" s="15">
        <f t="shared" si="14"/>
        <v>0</v>
      </c>
      <c r="AU25" s="15">
        <f t="shared" si="14"/>
        <v>0</v>
      </c>
      <c r="AV25" s="15">
        <f t="shared" si="14"/>
        <v>0</v>
      </c>
      <c r="AW25" s="15">
        <f t="shared" si="14"/>
        <v>0</v>
      </c>
      <c r="AX25" s="15">
        <f t="shared" si="14"/>
        <v>0</v>
      </c>
      <c r="AY25" s="15">
        <f t="shared" si="14"/>
        <v>0</v>
      </c>
      <c r="AZ25" s="15">
        <f t="shared" si="14"/>
        <v>0</v>
      </c>
      <c r="BA25" s="15">
        <f t="shared" si="14"/>
        <v>0</v>
      </c>
      <c r="BB25" s="15">
        <f t="shared" si="14"/>
        <v>0</v>
      </c>
      <c r="BC25" s="15">
        <f t="shared" si="14"/>
        <v>0</v>
      </c>
      <c r="BD25" s="15">
        <f t="shared" si="14"/>
        <v>0</v>
      </c>
      <c r="BE25" s="16">
        <f t="shared" si="14"/>
        <v>0</v>
      </c>
    </row>
    <row r="26" spans="1:57" x14ac:dyDescent="0.25">
      <c r="A26" t="s">
        <v>58</v>
      </c>
      <c r="B26">
        <v>419.25</v>
      </c>
      <c r="C26">
        <v>489</v>
      </c>
      <c r="D26" t="s">
        <v>138</v>
      </c>
      <c r="E26">
        <v>419.25</v>
      </c>
      <c r="F26">
        <v>489</v>
      </c>
      <c r="J26" t="str">
        <f t="shared" si="6"/>
        <v>Opening stock n-3</v>
      </c>
      <c r="M26">
        <f t="shared" si="0"/>
        <v>644.12076701500632</v>
      </c>
      <c r="N26" s="1">
        <f t="shared" si="1"/>
        <v>0</v>
      </c>
      <c r="P26" s="14">
        <f t="shared" si="11"/>
        <v>0</v>
      </c>
      <c r="Q26" s="15">
        <f t="shared" si="11"/>
        <v>0</v>
      </c>
      <c r="R26" s="15">
        <f t="shared" si="11"/>
        <v>0</v>
      </c>
      <c r="S26" s="15">
        <f t="shared" si="11"/>
        <v>0</v>
      </c>
      <c r="T26" s="15">
        <f t="shared" si="11"/>
        <v>0</v>
      </c>
      <c r="U26" s="15">
        <f t="shared" si="11"/>
        <v>0</v>
      </c>
      <c r="V26" s="15">
        <f t="shared" si="11"/>
        <v>0</v>
      </c>
      <c r="W26" s="15">
        <f t="shared" si="11"/>
        <v>0</v>
      </c>
      <c r="X26" s="15">
        <f t="shared" si="11"/>
        <v>0</v>
      </c>
      <c r="Y26" s="15">
        <f t="shared" si="11"/>
        <v>0</v>
      </c>
      <c r="Z26" s="15">
        <f t="shared" si="12"/>
        <v>0</v>
      </c>
      <c r="AA26" s="15">
        <f t="shared" si="12"/>
        <v>0</v>
      </c>
      <c r="AB26" s="15">
        <f t="shared" si="12"/>
        <v>0</v>
      </c>
      <c r="AC26" s="15">
        <f t="shared" si="12"/>
        <v>0</v>
      </c>
      <c r="AD26" s="15">
        <f t="shared" si="12"/>
        <v>0</v>
      </c>
      <c r="AE26" s="15">
        <f t="shared" si="12"/>
        <v>0</v>
      </c>
      <c r="AF26" s="15">
        <f t="shared" si="12"/>
        <v>0</v>
      </c>
      <c r="AG26" s="15">
        <f t="shared" si="12"/>
        <v>0</v>
      </c>
      <c r="AH26" s="15">
        <f t="shared" si="12"/>
        <v>0</v>
      </c>
      <c r="AI26" s="15">
        <f t="shared" si="12"/>
        <v>0</v>
      </c>
      <c r="AJ26" s="15">
        <f t="shared" si="13"/>
        <v>0</v>
      </c>
      <c r="AK26" s="15">
        <f t="shared" si="13"/>
        <v>0</v>
      </c>
      <c r="AL26" s="15">
        <f t="shared" si="13"/>
        <v>0</v>
      </c>
      <c r="AM26" s="15">
        <f t="shared" si="13"/>
        <v>0</v>
      </c>
      <c r="AN26" s="15">
        <f t="shared" si="13"/>
        <v>0</v>
      </c>
      <c r="AO26" s="15">
        <f t="shared" si="13"/>
        <v>0</v>
      </c>
      <c r="AP26" s="15">
        <f t="shared" si="13"/>
        <v>0</v>
      </c>
      <c r="AQ26" s="15">
        <f t="shared" si="13"/>
        <v>0</v>
      </c>
      <c r="AR26" s="15">
        <f t="shared" si="13"/>
        <v>0</v>
      </c>
      <c r="AS26" s="15">
        <f t="shared" si="13"/>
        <v>0</v>
      </c>
      <c r="AT26" s="15">
        <f t="shared" si="14"/>
        <v>0</v>
      </c>
      <c r="AU26" s="15">
        <f t="shared" si="14"/>
        <v>0</v>
      </c>
      <c r="AV26" s="15">
        <f t="shared" si="14"/>
        <v>0</v>
      </c>
      <c r="AW26" s="15">
        <f t="shared" si="14"/>
        <v>0</v>
      </c>
      <c r="AX26" s="15">
        <f t="shared" si="14"/>
        <v>0</v>
      </c>
      <c r="AY26" s="15">
        <f t="shared" si="14"/>
        <v>0</v>
      </c>
      <c r="AZ26" s="15">
        <f t="shared" si="14"/>
        <v>0</v>
      </c>
      <c r="BA26" s="15">
        <f t="shared" si="14"/>
        <v>0</v>
      </c>
      <c r="BB26" s="15">
        <f t="shared" si="14"/>
        <v>0</v>
      </c>
      <c r="BC26" s="15">
        <f t="shared" si="14"/>
        <v>0</v>
      </c>
      <c r="BD26" s="15">
        <f t="shared" si="14"/>
        <v>0</v>
      </c>
      <c r="BE26" s="16">
        <f t="shared" si="14"/>
        <v>0</v>
      </c>
    </row>
    <row r="27" spans="1:57" x14ac:dyDescent="0.25">
      <c r="A27" t="s">
        <v>133</v>
      </c>
      <c r="B27">
        <v>419.25</v>
      </c>
      <c r="C27">
        <v>513.75</v>
      </c>
      <c r="D27" t="s">
        <v>141</v>
      </c>
      <c r="E27">
        <v>419.25</v>
      </c>
      <c r="F27">
        <v>513.75</v>
      </c>
      <c r="J27" t="str">
        <f t="shared" si="6"/>
        <v>Opening stock n-2</v>
      </c>
      <c r="M27">
        <f t="shared" si="0"/>
        <v>663.10604355562918</v>
      </c>
      <c r="N27" s="1">
        <f t="shared" si="1"/>
        <v>0</v>
      </c>
      <c r="P27" s="14">
        <f t="shared" si="11"/>
        <v>0</v>
      </c>
      <c r="Q27" s="15">
        <f t="shared" si="11"/>
        <v>0</v>
      </c>
      <c r="R27" s="15">
        <f t="shared" si="11"/>
        <v>0</v>
      </c>
      <c r="S27" s="15">
        <f t="shared" si="11"/>
        <v>0</v>
      </c>
      <c r="T27" s="15">
        <f t="shared" si="11"/>
        <v>0</v>
      </c>
      <c r="U27" s="15">
        <f t="shared" si="11"/>
        <v>0</v>
      </c>
      <c r="V27" s="15">
        <f t="shared" si="11"/>
        <v>0</v>
      </c>
      <c r="W27" s="15">
        <f t="shared" si="11"/>
        <v>0</v>
      </c>
      <c r="X27" s="15">
        <f t="shared" si="11"/>
        <v>0</v>
      </c>
      <c r="Y27" s="15">
        <f t="shared" si="11"/>
        <v>0</v>
      </c>
      <c r="Z27" s="15">
        <f t="shared" si="12"/>
        <v>0</v>
      </c>
      <c r="AA27" s="15">
        <f t="shared" si="12"/>
        <v>0</v>
      </c>
      <c r="AB27" s="15">
        <f t="shared" si="12"/>
        <v>0</v>
      </c>
      <c r="AC27" s="15">
        <f t="shared" si="12"/>
        <v>0</v>
      </c>
      <c r="AD27" s="15">
        <f t="shared" si="12"/>
        <v>0</v>
      </c>
      <c r="AE27" s="15">
        <f t="shared" si="12"/>
        <v>0</v>
      </c>
      <c r="AF27" s="15">
        <f t="shared" si="12"/>
        <v>0</v>
      </c>
      <c r="AG27" s="15">
        <f t="shared" si="12"/>
        <v>0</v>
      </c>
      <c r="AH27" s="15">
        <f t="shared" si="12"/>
        <v>0</v>
      </c>
      <c r="AI27" s="15">
        <f t="shared" si="12"/>
        <v>0</v>
      </c>
      <c r="AJ27" s="15">
        <f t="shared" si="13"/>
        <v>0</v>
      </c>
      <c r="AK27" s="15">
        <f t="shared" si="13"/>
        <v>0</v>
      </c>
      <c r="AL27" s="15">
        <f t="shared" si="13"/>
        <v>0</v>
      </c>
      <c r="AM27" s="15">
        <f t="shared" si="13"/>
        <v>0</v>
      </c>
      <c r="AN27" s="15">
        <f t="shared" si="13"/>
        <v>0</v>
      </c>
      <c r="AO27" s="15">
        <f t="shared" si="13"/>
        <v>0</v>
      </c>
      <c r="AP27" s="15">
        <f t="shared" si="13"/>
        <v>0</v>
      </c>
      <c r="AQ27" s="15">
        <f t="shared" si="13"/>
        <v>0</v>
      </c>
      <c r="AR27" s="15">
        <f t="shared" si="13"/>
        <v>0</v>
      </c>
      <c r="AS27" s="15">
        <f t="shared" si="13"/>
        <v>0</v>
      </c>
      <c r="AT27" s="15">
        <f t="shared" si="14"/>
        <v>0</v>
      </c>
      <c r="AU27" s="15">
        <f t="shared" si="14"/>
        <v>0</v>
      </c>
      <c r="AV27" s="15">
        <f t="shared" si="14"/>
        <v>0</v>
      </c>
      <c r="AW27" s="15">
        <f t="shared" si="14"/>
        <v>0</v>
      </c>
      <c r="AX27" s="15">
        <f t="shared" si="14"/>
        <v>0</v>
      </c>
      <c r="AY27" s="15">
        <f t="shared" si="14"/>
        <v>0</v>
      </c>
      <c r="AZ27" s="15">
        <f t="shared" si="14"/>
        <v>0</v>
      </c>
      <c r="BA27" s="15">
        <f t="shared" si="14"/>
        <v>0</v>
      </c>
      <c r="BB27" s="15">
        <f t="shared" si="14"/>
        <v>0</v>
      </c>
      <c r="BC27" s="15">
        <f t="shared" si="14"/>
        <v>0</v>
      </c>
      <c r="BD27" s="15">
        <f t="shared" si="14"/>
        <v>0</v>
      </c>
      <c r="BE27" s="16">
        <f t="shared" si="14"/>
        <v>0</v>
      </c>
    </row>
    <row r="28" spans="1:57" x14ac:dyDescent="0.25">
      <c r="A28" t="s">
        <v>136</v>
      </c>
      <c r="B28">
        <v>419.25</v>
      </c>
      <c r="C28">
        <v>538.5</v>
      </c>
      <c r="D28" t="s">
        <v>71</v>
      </c>
      <c r="E28">
        <v>419.25</v>
      </c>
      <c r="F28">
        <v>538.5</v>
      </c>
      <c r="J28" t="str">
        <f t="shared" si="6"/>
        <v>Opening stock n-1</v>
      </c>
      <c r="M28">
        <f t="shared" si="0"/>
        <v>682.46085052550814</v>
      </c>
      <c r="N28" s="1">
        <f t="shared" si="1"/>
        <v>0</v>
      </c>
      <c r="P28" s="14">
        <f t="shared" si="11"/>
        <v>0</v>
      </c>
      <c r="Q28" s="15">
        <f t="shared" si="11"/>
        <v>0</v>
      </c>
      <c r="R28" s="15">
        <f t="shared" si="11"/>
        <v>0</v>
      </c>
      <c r="S28" s="15">
        <f t="shared" si="11"/>
        <v>0</v>
      </c>
      <c r="T28" s="15">
        <f t="shared" si="11"/>
        <v>0</v>
      </c>
      <c r="U28" s="15">
        <f t="shared" si="11"/>
        <v>0</v>
      </c>
      <c r="V28" s="15">
        <f t="shared" si="11"/>
        <v>0</v>
      </c>
      <c r="W28" s="15">
        <f t="shared" si="11"/>
        <v>0</v>
      </c>
      <c r="X28" s="15">
        <f t="shared" si="11"/>
        <v>0</v>
      </c>
      <c r="Y28" s="15">
        <f t="shared" si="11"/>
        <v>0</v>
      </c>
      <c r="Z28" s="15">
        <f t="shared" si="12"/>
        <v>0</v>
      </c>
      <c r="AA28" s="15">
        <f t="shared" si="12"/>
        <v>0</v>
      </c>
      <c r="AB28" s="15">
        <f t="shared" si="12"/>
        <v>0</v>
      </c>
      <c r="AC28" s="15">
        <f t="shared" si="12"/>
        <v>0</v>
      </c>
      <c r="AD28" s="15">
        <f t="shared" si="12"/>
        <v>0</v>
      </c>
      <c r="AE28" s="15">
        <f t="shared" si="12"/>
        <v>0</v>
      </c>
      <c r="AF28" s="15">
        <f t="shared" si="12"/>
        <v>0</v>
      </c>
      <c r="AG28" s="15">
        <f t="shared" si="12"/>
        <v>0</v>
      </c>
      <c r="AH28" s="15">
        <f t="shared" si="12"/>
        <v>0</v>
      </c>
      <c r="AI28" s="15">
        <f t="shared" si="12"/>
        <v>0</v>
      </c>
      <c r="AJ28" s="15">
        <f t="shared" si="13"/>
        <v>0</v>
      </c>
      <c r="AK28" s="15">
        <f t="shared" si="13"/>
        <v>0</v>
      </c>
      <c r="AL28" s="15">
        <f t="shared" si="13"/>
        <v>0</v>
      </c>
      <c r="AM28" s="15">
        <f t="shared" si="13"/>
        <v>0</v>
      </c>
      <c r="AN28" s="15">
        <f t="shared" si="13"/>
        <v>0</v>
      </c>
      <c r="AO28" s="15">
        <f t="shared" si="13"/>
        <v>0</v>
      </c>
      <c r="AP28" s="15">
        <f t="shared" si="13"/>
        <v>0</v>
      </c>
      <c r="AQ28" s="15">
        <f t="shared" si="13"/>
        <v>0</v>
      </c>
      <c r="AR28" s="15">
        <f t="shared" si="13"/>
        <v>0</v>
      </c>
      <c r="AS28" s="15">
        <f t="shared" si="13"/>
        <v>0</v>
      </c>
      <c r="AT28" s="15">
        <f t="shared" si="14"/>
        <v>0</v>
      </c>
      <c r="AU28" s="15">
        <f t="shared" si="14"/>
        <v>0</v>
      </c>
      <c r="AV28" s="15">
        <f t="shared" si="14"/>
        <v>0</v>
      </c>
      <c r="AW28" s="15">
        <f t="shared" si="14"/>
        <v>0</v>
      </c>
      <c r="AX28" s="15">
        <f t="shared" si="14"/>
        <v>0</v>
      </c>
      <c r="AY28" s="15">
        <f t="shared" si="14"/>
        <v>0</v>
      </c>
      <c r="AZ28" s="15">
        <f t="shared" si="14"/>
        <v>0</v>
      </c>
      <c r="BA28" s="15">
        <f t="shared" si="14"/>
        <v>0</v>
      </c>
      <c r="BB28" s="15">
        <f t="shared" si="14"/>
        <v>0</v>
      </c>
      <c r="BC28" s="15">
        <f t="shared" si="14"/>
        <v>0</v>
      </c>
      <c r="BD28" s="15">
        <f t="shared" si="14"/>
        <v>0</v>
      </c>
      <c r="BE28" s="16">
        <f t="shared" si="14"/>
        <v>0</v>
      </c>
    </row>
    <row r="29" spans="1:57" x14ac:dyDescent="0.25">
      <c r="A29" t="s">
        <v>57</v>
      </c>
      <c r="B29">
        <v>419.25</v>
      </c>
      <c r="C29">
        <v>563.25</v>
      </c>
      <c r="D29" t="s">
        <v>60</v>
      </c>
      <c r="E29">
        <v>419.25</v>
      </c>
      <c r="F29">
        <v>563.25</v>
      </c>
      <c r="J29" t="str">
        <f t="shared" si="6"/>
        <v>Opening stock n</v>
      </c>
      <c r="M29">
        <f t="shared" si="0"/>
        <v>702.15463040558234</v>
      </c>
      <c r="N29" s="1">
        <f t="shared" si="1"/>
        <v>0</v>
      </c>
      <c r="P29" s="14">
        <f t="shared" si="11"/>
        <v>0</v>
      </c>
      <c r="Q29" s="15">
        <f t="shared" si="11"/>
        <v>0</v>
      </c>
      <c r="R29" s="15">
        <f t="shared" si="11"/>
        <v>0</v>
      </c>
      <c r="S29" s="15">
        <f t="shared" si="11"/>
        <v>0</v>
      </c>
      <c r="T29" s="15">
        <f t="shared" si="11"/>
        <v>0</v>
      </c>
      <c r="U29" s="15">
        <f t="shared" si="11"/>
        <v>0</v>
      </c>
      <c r="V29" s="15">
        <f t="shared" si="11"/>
        <v>0</v>
      </c>
      <c r="W29" s="15">
        <f t="shared" si="11"/>
        <v>0</v>
      </c>
      <c r="X29" s="15">
        <f t="shared" si="11"/>
        <v>0</v>
      </c>
      <c r="Y29" s="15">
        <f t="shared" si="11"/>
        <v>0</v>
      </c>
      <c r="Z29" s="15">
        <f t="shared" si="12"/>
        <v>0</v>
      </c>
      <c r="AA29" s="15">
        <f t="shared" si="12"/>
        <v>0</v>
      </c>
      <c r="AB29" s="15">
        <f t="shared" si="12"/>
        <v>0</v>
      </c>
      <c r="AC29" s="15">
        <f t="shared" si="12"/>
        <v>0</v>
      </c>
      <c r="AD29" s="15">
        <f t="shared" si="12"/>
        <v>0</v>
      </c>
      <c r="AE29" s="15">
        <f t="shared" si="12"/>
        <v>0</v>
      </c>
      <c r="AF29" s="15">
        <f t="shared" si="12"/>
        <v>0</v>
      </c>
      <c r="AG29" s="15">
        <f t="shared" si="12"/>
        <v>0</v>
      </c>
      <c r="AH29" s="15">
        <f t="shared" si="12"/>
        <v>0</v>
      </c>
      <c r="AI29" s="15">
        <f t="shared" si="12"/>
        <v>1</v>
      </c>
      <c r="AJ29" s="15">
        <f t="shared" si="13"/>
        <v>0</v>
      </c>
      <c r="AK29" s="15">
        <f t="shared" si="13"/>
        <v>0</v>
      </c>
      <c r="AL29" s="15">
        <f t="shared" si="13"/>
        <v>0</v>
      </c>
      <c r="AM29" s="15">
        <f t="shared" si="13"/>
        <v>0</v>
      </c>
      <c r="AN29" s="15">
        <f t="shared" si="13"/>
        <v>0</v>
      </c>
      <c r="AO29" s="15">
        <f t="shared" si="13"/>
        <v>0</v>
      </c>
      <c r="AP29" s="15">
        <f t="shared" si="13"/>
        <v>1</v>
      </c>
      <c r="AQ29" s="15">
        <f t="shared" si="13"/>
        <v>0</v>
      </c>
      <c r="AR29" s="15">
        <f t="shared" si="13"/>
        <v>0</v>
      </c>
      <c r="AS29" s="15">
        <f t="shared" si="13"/>
        <v>0</v>
      </c>
      <c r="AT29" s="15">
        <f t="shared" si="14"/>
        <v>0</v>
      </c>
      <c r="AU29" s="15">
        <f t="shared" si="14"/>
        <v>1</v>
      </c>
      <c r="AV29" s="15">
        <f t="shared" si="14"/>
        <v>0</v>
      </c>
      <c r="AW29" s="15">
        <f t="shared" si="14"/>
        <v>0</v>
      </c>
      <c r="AX29" s="15">
        <f t="shared" si="14"/>
        <v>0</v>
      </c>
      <c r="AY29" s="15">
        <f t="shared" si="14"/>
        <v>0</v>
      </c>
      <c r="AZ29" s="15">
        <f t="shared" si="14"/>
        <v>0</v>
      </c>
      <c r="BA29" s="15">
        <f t="shared" si="14"/>
        <v>0</v>
      </c>
      <c r="BB29" s="15">
        <f t="shared" si="14"/>
        <v>0</v>
      </c>
      <c r="BC29" s="15">
        <f t="shared" si="14"/>
        <v>0</v>
      </c>
      <c r="BD29" s="15">
        <f t="shared" si="14"/>
        <v>0</v>
      </c>
      <c r="BE29" s="16">
        <f t="shared" si="14"/>
        <v>0</v>
      </c>
    </row>
    <row r="30" spans="1:57" x14ac:dyDescent="0.25">
      <c r="A30" t="s">
        <v>123</v>
      </c>
      <c r="B30">
        <v>465</v>
      </c>
      <c r="C30">
        <v>884.25</v>
      </c>
      <c r="D30" t="s">
        <v>11</v>
      </c>
      <c r="E30">
        <v>465</v>
      </c>
      <c r="F30">
        <v>884.25</v>
      </c>
      <c r="J30" t="str">
        <f t="shared" si="6"/>
        <v>Actual COS</v>
      </c>
      <c r="M30">
        <f t="shared" si="0"/>
        <v>999.06109047445136</v>
      </c>
      <c r="N30" s="1">
        <f t="shared" si="1"/>
        <v>0</v>
      </c>
      <c r="P30" s="14">
        <f t="shared" si="11"/>
        <v>0</v>
      </c>
      <c r="Q30" s="15">
        <f t="shared" si="11"/>
        <v>0</v>
      </c>
      <c r="R30" s="15">
        <f t="shared" si="11"/>
        <v>0</v>
      </c>
      <c r="S30" s="15">
        <f t="shared" si="11"/>
        <v>0</v>
      </c>
      <c r="T30" s="15">
        <f t="shared" si="11"/>
        <v>0</v>
      </c>
      <c r="U30" s="15">
        <f t="shared" si="11"/>
        <v>0</v>
      </c>
      <c r="V30" s="15">
        <f t="shared" si="11"/>
        <v>0</v>
      </c>
      <c r="W30" s="15">
        <f t="shared" si="11"/>
        <v>0</v>
      </c>
      <c r="X30" s="15">
        <f t="shared" si="11"/>
        <v>0</v>
      </c>
      <c r="Y30" s="15">
        <f t="shared" si="11"/>
        <v>0</v>
      </c>
      <c r="Z30" s="15">
        <f t="shared" si="12"/>
        <v>0</v>
      </c>
      <c r="AA30" s="15">
        <f t="shared" si="12"/>
        <v>0</v>
      </c>
      <c r="AB30" s="15">
        <f t="shared" si="12"/>
        <v>0</v>
      </c>
      <c r="AC30" s="15">
        <f t="shared" si="12"/>
        <v>0</v>
      </c>
      <c r="AD30" s="15">
        <f t="shared" si="12"/>
        <v>0</v>
      </c>
      <c r="AE30" s="15">
        <f t="shared" si="12"/>
        <v>0</v>
      </c>
      <c r="AF30" s="15">
        <f t="shared" si="12"/>
        <v>0</v>
      </c>
      <c r="AG30" s="15">
        <f t="shared" si="12"/>
        <v>0</v>
      </c>
      <c r="AH30" s="15">
        <f t="shared" si="12"/>
        <v>0</v>
      </c>
      <c r="AI30" s="15">
        <f t="shared" si="12"/>
        <v>0</v>
      </c>
      <c r="AJ30" s="15">
        <f t="shared" si="13"/>
        <v>0</v>
      </c>
      <c r="AK30" s="15">
        <f t="shared" si="13"/>
        <v>0</v>
      </c>
      <c r="AL30" s="15">
        <f t="shared" si="13"/>
        <v>0</v>
      </c>
      <c r="AM30" s="15">
        <f t="shared" si="13"/>
        <v>0</v>
      </c>
      <c r="AN30" s="15">
        <f t="shared" si="13"/>
        <v>0</v>
      </c>
      <c r="AO30" s="15">
        <f t="shared" si="13"/>
        <v>0</v>
      </c>
      <c r="AP30" s="15">
        <f t="shared" si="13"/>
        <v>0</v>
      </c>
      <c r="AQ30" s="15">
        <f t="shared" si="13"/>
        <v>0</v>
      </c>
      <c r="AR30" s="15">
        <f t="shared" si="13"/>
        <v>0</v>
      </c>
      <c r="AS30" s="15">
        <f t="shared" si="13"/>
        <v>0</v>
      </c>
      <c r="AT30" s="15">
        <f t="shared" si="14"/>
        <v>0</v>
      </c>
      <c r="AU30" s="15">
        <f t="shared" si="14"/>
        <v>0</v>
      </c>
      <c r="AV30" s="15">
        <f t="shared" si="14"/>
        <v>0</v>
      </c>
      <c r="AW30" s="15">
        <f t="shared" si="14"/>
        <v>0</v>
      </c>
      <c r="AX30" s="15">
        <f t="shared" si="14"/>
        <v>0</v>
      </c>
      <c r="AY30" s="15">
        <f t="shared" si="14"/>
        <v>0</v>
      </c>
      <c r="AZ30" s="15">
        <f t="shared" si="14"/>
        <v>0</v>
      </c>
      <c r="BA30" s="15">
        <f t="shared" si="14"/>
        <v>0</v>
      </c>
      <c r="BB30" s="15">
        <f t="shared" si="14"/>
        <v>0</v>
      </c>
      <c r="BC30" s="15">
        <f t="shared" si="14"/>
        <v>0</v>
      </c>
      <c r="BD30" s="15">
        <f t="shared" si="14"/>
        <v>0</v>
      </c>
      <c r="BE30" s="16">
        <f t="shared" si="14"/>
        <v>0</v>
      </c>
    </row>
    <row r="31" spans="1:57" x14ac:dyDescent="0.25">
      <c r="A31" t="s">
        <v>135</v>
      </c>
      <c r="B31">
        <v>465</v>
      </c>
      <c r="C31">
        <v>996.75</v>
      </c>
      <c r="D31" t="s">
        <v>149</v>
      </c>
      <c r="E31">
        <v>465</v>
      </c>
      <c r="F31">
        <v>996.75</v>
      </c>
      <c r="J31" t="str">
        <f t="shared" si="6"/>
        <v>Actual COS n-3</v>
      </c>
      <c r="M31">
        <f t="shared" si="0"/>
        <v>1099.8797945684792</v>
      </c>
      <c r="N31" s="1">
        <f t="shared" si="1"/>
        <v>0</v>
      </c>
      <c r="P31" s="14">
        <f t="shared" si="11"/>
        <v>0</v>
      </c>
      <c r="Q31" s="15">
        <f t="shared" si="11"/>
        <v>0</v>
      </c>
      <c r="R31" s="15">
        <f t="shared" si="11"/>
        <v>0</v>
      </c>
      <c r="S31" s="15">
        <f t="shared" si="11"/>
        <v>0</v>
      </c>
      <c r="T31" s="15">
        <f t="shared" si="11"/>
        <v>0</v>
      </c>
      <c r="U31" s="15">
        <f t="shared" si="11"/>
        <v>0</v>
      </c>
      <c r="V31" s="15">
        <f t="shared" si="11"/>
        <v>0</v>
      </c>
      <c r="W31" s="15">
        <f t="shared" si="11"/>
        <v>0</v>
      </c>
      <c r="X31" s="15">
        <f t="shared" si="11"/>
        <v>0</v>
      </c>
      <c r="Y31" s="15">
        <f t="shared" si="11"/>
        <v>0</v>
      </c>
      <c r="Z31" s="15">
        <f t="shared" si="12"/>
        <v>0</v>
      </c>
      <c r="AA31" s="15">
        <f t="shared" si="12"/>
        <v>0</v>
      </c>
      <c r="AB31" s="15">
        <f t="shared" si="12"/>
        <v>0</v>
      </c>
      <c r="AC31" s="15">
        <f t="shared" si="12"/>
        <v>0</v>
      </c>
      <c r="AD31" s="15">
        <f t="shared" si="12"/>
        <v>0</v>
      </c>
      <c r="AE31" s="15">
        <f t="shared" si="12"/>
        <v>0</v>
      </c>
      <c r="AF31" s="15">
        <f t="shared" si="12"/>
        <v>0</v>
      </c>
      <c r="AG31" s="15">
        <f t="shared" si="12"/>
        <v>0</v>
      </c>
      <c r="AH31" s="15">
        <f t="shared" si="12"/>
        <v>0</v>
      </c>
      <c r="AI31" s="15">
        <f t="shared" si="12"/>
        <v>0</v>
      </c>
      <c r="AJ31" s="15">
        <f t="shared" si="13"/>
        <v>0</v>
      </c>
      <c r="AK31" s="15">
        <f t="shared" si="13"/>
        <v>0</v>
      </c>
      <c r="AL31" s="15">
        <f t="shared" si="13"/>
        <v>0</v>
      </c>
      <c r="AM31" s="15">
        <f t="shared" si="13"/>
        <v>0</v>
      </c>
      <c r="AN31" s="15">
        <f t="shared" si="13"/>
        <v>0</v>
      </c>
      <c r="AO31" s="15">
        <f t="shared" si="13"/>
        <v>0</v>
      </c>
      <c r="AP31" s="15">
        <f t="shared" si="13"/>
        <v>0</v>
      </c>
      <c r="AQ31" s="15">
        <f t="shared" si="13"/>
        <v>0</v>
      </c>
      <c r="AR31" s="15">
        <f t="shared" si="13"/>
        <v>0</v>
      </c>
      <c r="AS31" s="15">
        <f t="shared" si="13"/>
        <v>0</v>
      </c>
      <c r="AT31" s="15">
        <f t="shared" si="14"/>
        <v>0</v>
      </c>
      <c r="AU31" s="15">
        <f t="shared" si="14"/>
        <v>0</v>
      </c>
      <c r="AV31" s="15">
        <f t="shared" si="14"/>
        <v>0</v>
      </c>
      <c r="AW31" s="15">
        <f t="shared" si="14"/>
        <v>0</v>
      </c>
      <c r="AX31" s="15">
        <f t="shared" si="14"/>
        <v>0</v>
      </c>
      <c r="AY31" s="15">
        <f t="shared" si="14"/>
        <v>0</v>
      </c>
      <c r="AZ31" s="15">
        <f t="shared" si="14"/>
        <v>0</v>
      </c>
      <c r="BA31" s="15">
        <f t="shared" si="14"/>
        <v>0</v>
      </c>
      <c r="BB31" s="15">
        <f t="shared" si="14"/>
        <v>0</v>
      </c>
      <c r="BC31" s="15">
        <f t="shared" si="14"/>
        <v>0</v>
      </c>
      <c r="BD31" s="15">
        <f t="shared" si="14"/>
        <v>0</v>
      </c>
      <c r="BE31" s="16">
        <f t="shared" si="14"/>
        <v>0</v>
      </c>
    </row>
    <row r="32" spans="1:57" x14ac:dyDescent="0.25">
      <c r="A32" t="s">
        <v>134</v>
      </c>
      <c r="B32">
        <v>465</v>
      </c>
      <c r="C32">
        <v>1021.5</v>
      </c>
      <c r="D32" t="s">
        <v>147</v>
      </c>
      <c r="E32">
        <v>465</v>
      </c>
      <c r="F32">
        <v>1021.5</v>
      </c>
      <c r="J32" t="str">
        <f t="shared" si="6"/>
        <v>Actual COS n-2</v>
      </c>
      <c r="M32">
        <f t="shared" si="0"/>
        <v>1122.3578974640843</v>
      </c>
      <c r="N32" s="1">
        <f t="shared" si="1"/>
        <v>0</v>
      </c>
      <c r="P32" s="14">
        <f t="shared" ref="P32:Y43" si="15">COUNTIFS($G$44:$G$78,$J32,$H$44:$H$78,P$1)</f>
        <v>0</v>
      </c>
      <c r="Q32" s="15">
        <f t="shared" si="15"/>
        <v>0</v>
      </c>
      <c r="R32" s="15">
        <f t="shared" si="15"/>
        <v>0</v>
      </c>
      <c r="S32" s="15">
        <f t="shared" si="15"/>
        <v>0</v>
      </c>
      <c r="T32" s="15">
        <f t="shared" si="15"/>
        <v>0</v>
      </c>
      <c r="U32" s="15">
        <f t="shared" si="15"/>
        <v>0</v>
      </c>
      <c r="V32" s="15">
        <f t="shared" si="15"/>
        <v>0</v>
      </c>
      <c r="W32" s="15">
        <f t="shared" si="15"/>
        <v>0</v>
      </c>
      <c r="X32" s="15">
        <f t="shared" si="15"/>
        <v>0</v>
      </c>
      <c r="Y32" s="15">
        <f t="shared" si="15"/>
        <v>0</v>
      </c>
      <c r="Z32" s="15">
        <f t="shared" ref="Z32:AI43" si="16">COUNTIFS($G$44:$G$78,$J32,$H$44:$H$78,Z$1)</f>
        <v>0</v>
      </c>
      <c r="AA32" s="15">
        <f t="shared" si="16"/>
        <v>0</v>
      </c>
      <c r="AB32" s="15">
        <f t="shared" si="16"/>
        <v>0</v>
      </c>
      <c r="AC32" s="15">
        <f t="shared" si="16"/>
        <v>0</v>
      </c>
      <c r="AD32" s="15">
        <f t="shared" si="16"/>
        <v>0</v>
      </c>
      <c r="AE32" s="15">
        <f t="shared" si="16"/>
        <v>0</v>
      </c>
      <c r="AF32" s="15">
        <f t="shared" si="16"/>
        <v>0</v>
      </c>
      <c r="AG32" s="15">
        <f t="shared" si="16"/>
        <v>0</v>
      </c>
      <c r="AH32" s="15">
        <f t="shared" si="16"/>
        <v>0</v>
      </c>
      <c r="AI32" s="15">
        <f t="shared" si="16"/>
        <v>0</v>
      </c>
      <c r="AJ32" s="15">
        <f t="shared" ref="AJ32:AS43" si="17">COUNTIFS($G$44:$G$78,$J32,$H$44:$H$78,AJ$1)</f>
        <v>0</v>
      </c>
      <c r="AK32" s="15">
        <f t="shared" si="17"/>
        <v>0</v>
      </c>
      <c r="AL32" s="15">
        <f t="shared" si="17"/>
        <v>0</v>
      </c>
      <c r="AM32" s="15">
        <f t="shared" si="17"/>
        <v>0</v>
      </c>
      <c r="AN32" s="15">
        <f t="shared" si="17"/>
        <v>0</v>
      </c>
      <c r="AO32" s="15">
        <f t="shared" si="17"/>
        <v>0</v>
      </c>
      <c r="AP32" s="15">
        <f t="shared" si="17"/>
        <v>0</v>
      </c>
      <c r="AQ32" s="15">
        <f t="shared" si="17"/>
        <v>0</v>
      </c>
      <c r="AR32" s="15">
        <f t="shared" si="17"/>
        <v>0</v>
      </c>
      <c r="AS32" s="15">
        <f t="shared" si="17"/>
        <v>0</v>
      </c>
      <c r="AT32" s="15">
        <f t="shared" ref="AT32:BE43" si="18">COUNTIFS($G$44:$G$78,$J32,$H$44:$H$78,AT$1)</f>
        <v>0</v>
      </c>
      <c r="AU32" s="15">
        <f t="shared" si="18"/>
        <v>0</v>
      </c>
      <c r="AV32" s="15">
        <f t="shared" si="18"/>
        <v>0</v>
      </c>
      <c r="AW32" s="15">
        <f t="shared" si="18"/>
        <v>0</v>
      </c>
      <c r="AX32" s="15">
        <f t="shared" si="18"/>
        <v>0</v>
      </c>
      <c r="AY32" s="15">
        <f t="shared" si="18"/>
        <v>0</v>
      </c>
      <c r="AZ32" s="15">
        <f t="shared" si="18"/>
        <v>0</v>
      </c>
      <c r="BA32" s="15">
        <f t="shared" si="18"/>
        <v>0</v>
      </c>
      <c r="BB32" s="15">
        <f t="shared" si="18"/>
        <v>0</v>
      </c>
      <c r="BC32" s="15">
        <f t="shared" si="18"/>
        <v>0</v>
      </c>
      <c r="BD32" s="15">
        <f t="shared" si="18"/>
        <v>0</v>
      </c>
      <c r="BE32" s="16">
        <f t="shared" si="18"/>
        <v>0</v>
      </c>
    </row>
    <row r="33" spans="1:57" x14ac:dyDescent="0.25">
      <c r="A33" t="s">
        <v>69</v>
      </c>
      <c r="B33">
        <v>465</v>
      </c>
      <c r="C33">
        <v>1046.25</v>
      </c>
      <c r="D33" t="s">
        <v>73</v>
      </c>
      <c r="E33">
        <v>465</v>
      </c>
      <c r="F33">
        <v>1046.25</v>
      </c>
      <c r="J33" t="str">
        <f t="shared" si="6"/>
        <v>Actual COS n-1</v>
      </c>
      <c r="M33">
        <f t="shared" si="0"/>
        <v>1144.9297194587971</v>
      </c>
      <c r="N33" s="1">
        <f t="shared" si="1"/>
        <v>0</v>
      </c>
      <c r="P33" s="14">
        <f t="shared" si="15"/>
        <v>0</v>
      </c>
      <c r="Q33" s="15">
        <f t="shared" si="15"/>
        <v>0</v>
      </c>
      <c r="R33" s="15">
        <f t="shared" si="15"/>
        <v>0</v>
      </c>
      <c r="S33" s="15">
        <f t="shared" si="15"/>
        <v>0</v>
      </c>
      <c r="T33" s="15">
        <f t="shared" si="15"/>
        <v>0</v>
      </c>
      <c r="U33" s="15">
        <f t="shared" si="15"/>
        <v>0</v>
      </c>
      <c r="V33" s="15">
        <f t="shared" si="15"/>
        <v>0</v>
      </c>
      <c r="W33" s="15">
        <f t="shared" si="15"/>
        <v>0</v>
      </c>
      <c r="X33" s="15">
        <f t="shared" si="15"/>
        <v>0</v>
      </c>
      <c r="Y33" s="15">
        <f t="shared" si="15"/>
        <v>0</v>
      </c>
      <c r="Z33" s="15">
        <f t="shared" si="16"/>
        <v>0</v>
      </c>
      <c r="AA33" s="15">
        <f t="shared" si="16"/>
        <v>0</v>
      </c>
      <c r="AB33" s="15">
        <f t="shared" si="16"/>
        <v>0</v>
      </c>
      <c r="AC33" s="15">
        <f t="shared" si="16"/>
        <v>0</v>
      </c>
      <c r="AD33" s="15">
        <f t="shared" si="16"/>
        <v>0</v>
      </c>
      <c r="AE33" s="15">
        <f t="shared" si="16"/>
        <v>0</v>
      </c>
      <c r="AF33" s="15">
        <f t="shared" si="16"/>
        <v>0</v>
      </c>
      <c r="AG33" s="15">
        <f t="shared" si="16"/>
        <v>0</v>
      </c>
      <c r="AH33" s="15">
        <f t="shared" si="16"/>
        <v>0</v>
      </c>
      <c r="AI33" s="15">
        <f t="shared" si="16"/>
        <v>0</v>
      </c>
      <c r="AJ33" s="15">
        <f t="shared" si="17"/>
        <v>0</v>
      </c>
      <c r="AK33" s="15">
        <f t="shared" si="17"/>
        <v>0</v>
      </c>
      <c r="AL33" s="15">
        <f t="shared" si="17"/>
        <v>0</v>
      </c>
      <c r="AM33" s="15">
        <f t="shared" si="17"/>
        <v>0</v>
      </c>
      <c r="AN33" s="15">
        <f t="shared" si="17"/>
        <v>0</v>
      </c>
      <c r="AO33" s="15">
        <f t="shared" si="17"/>
        <v>0</v>
      </c>
      <c r="AP33" s="15">
        <f t="shared" si="17"/>
        <v>0</v>
      </c>
      <c r="AQ33" s="15">
        <f t="shared" si="17"/>
        <v>0</v>
      </c>
      <c r="AR33" s="15">
        <f t="shared" si="17"/>
        <v>0</v>
      </c>
      <c r="AS33" s="15">
        <f t="shared" si="17"/>
        <v>0</v>
      </c>
      <c r="AT33" s="15">
        <f t="shared" si="18"/>
        <v>0</v>
      </c>
      <c r="AU33" s="15">
        <f t="shared" si="18"/>
        <v>0</v>
      </c>
      <c r="AV33" s="15">
        <f t="shared" si="18"/>
        <v>0</v>
      </c>
      <c r="AW33" s="15">
        <f t="shared" si="18"/>
        <v>0</v>
      </c>
      <c r="AX33" s="15">
        <f t="shared" si="18"/>
        <v>0</v>
      </c>
      <c r="AY33" s="15">
        <f t="shared" si="18"/>
        <v>0</v>
      </c>
      <c r="AZ33" s="15">
        <f t="shared" si="18"/>
        <v>0</v>
      </c>
      <c r="BA33" s="15">
        <f t="shared" si="18"/>
        <v>0</v>
      </c>
      <c r="BB33" s="15">
        <f t="shared" si="18"/>
        <v>0</v>
      </c>
      <c r="BC33" s="15">
        <f t="shared" si="18"/>
        <v>0</v>
      </c>
      <c r="BD33" s="15">
        <f t="shared" si="18"/>
        <v>0</v>
      </c>
      <c r="BE33" s="16">
        <f t="shared" si="18"/>
        <v>0</v>
      </c>
    </row>
    <row r="34" spans="1:57" x14ac:dyDescent="0.25">
      <c r="A34" t="s">
        <v>68</v>
      </c>
      <c r="B34">
        <v>465</v>
      </c>
      <c r="C34">
        <v>1071</v>
      </c>
      <c r="D34" t="s">
        <v>76</v>
      </c>
      <c r="E34">
        <v>465</v>
      </c>
      <c r="F34">
        <v>1071</v>
      </c>
      <c r="J34" t="str">
        <f t="shared" si="6"/>
        <v>Actual COS n</v>
      </c>
      <c r="M34">
        <f t="shared" ref="M34:M64" si="19">IF(B34&lt;&gt;"",SQRT(B34^2+C34^2),"")</f>
        <v>1167.5898252382983</v>
      </c>
      <c r="N34" s="1">
        <f t="shared" ref="N34:N64" si="20">IFERROR(SQRT((B34-E34)^2+(C34-F34)^2)/M34,"")</f>
        <v>0</v>
      </c>
      <c r="P34" s="14">
        <f t="shared" si="15"/>
        <v>0</v>
      </c>
      <c r="Q34" s="15">
        <f t="shared" si="15"/>
        <v>0</v>
      </c>
      <c r="R34" s="15">
        <f t="shared" si="15"/>
        <v>0</v>
      </c>
      <c r="S34" s="15">
        <f t="shared" si="15"/>
        <v>0</v>
      </c>
      <c r="T34" s="15">
        <f t="shared" si="15"/>
        <v>0</v>
      </c>
      <c r="U34" s="15">
        <f t="shared" si="15"/>
        <v>0</v>
      </c>
      <c r="V34" s="15">
        <f t="shared" si="15"/>
        <v>0</v>
      </c>
      <c r="W34" s="15">
        <f t="shared" si="15"/>
        <v>0</v>
      </c>
      <c r="X34" s="15">
        <f t="shared" si="15"/>
        <v>0</v>
      </c>
      <c r="Y34" s="15">
        <f t="shared" si="15"/>
        <v>0</v>
      </c>
      <c r="Z34" s="15">
        <f t="shared" si="16"/>
        <v>0</v>
      </c>
      <c r="AA34" s="15">
        <f t="shared" si="16"/>
        <v>0</v>
      </c>
      <c r="AB34" s="15">
        <f t="shared" si="16"/>
        <v>0</v>
      </c>
      <c r="AC34" s="15">
        <f t="shared" si="16"/>
        <v>0</v>
      </c>
      <c r="AD34" s="15">
        <f t="shared" si="16"/>
        <v>0</v>
      </c>
      <c r="AE34" s="15">
        <f t="shared" si="16"/>
        <v>1</v>
      </c>
      <c r="AF34" s="15">
        <f t="shared" si="16"/>
        <v>0</v>
      </c>
      <c r="AG34" s="15">
        <f t="shared" si="16"/>
        <v>0</v>
      </c>
      <c r="AH34" s="15">
        <f t="shared" si="16"/>
        <v>0</v>
      </c>
      <c r="AI34" s="15">
        <f t="shared" si="16"/>
        <v>0</v>
      </c>
      <c r="AJ34" s="15">
        <f t="shared" si="17"/>
        <v>1</v>
      </c>
      <c r="AK34" s="15">
        <f t="shared" si="17"/>
        <v>0</v>
      </c>
      <c r="AL34" s="15">
        <f t="shared" si="17"/>
        <v>0</v>
      </c>
      <c r="AM34" s="15">
        <f t="shared" si="17"/>
        <v>0</v>
      </c>
      <c r="AN34" s="15">
        <f t="shared" si="17"/>
        <v>0</v>
      </c>
      <c r="AO34" s="15">
        <f t="shared" si="17"/>
        <v>0</v>
      </c>
      <c r="AP34" s="15">
        <f t="shared" si="17"/>
        <v>0</v>
      </c>
      <c r="AQ34" s="15">
        <f t="shared" si="17"/>
        <v>1</v>
      </c>
      <c r="AR34" s="15">
        <f t="shared" si="17"/>
        <v>0</v>
      </c>
      <c r="AS34" s="15">
        <f t="shared" si="17"/>
        <v>0</v>
      </c>
      <c r="AT34" s="15">
        <f t="shared" si="18"/>
        <v>0</v>
      </c>
      <c r="AU34" s="15">
        <f t="shared" si="18"/>
        <v>0</v>
      </c>
      <c r="AV34" s="15">
        <f t="shared" si="18"/>
        <v>0</v>
      </c>
      <c r="AW34" s="15">
        <f t="shared" si="18"/>
        <v>0</v>
      </c>
      <c r="AX34" s="15">
        <f t="shared" si="18"/>
        <v>0</v>
      </c>
      <c r="AY34" s="15">
        <f t="shared" si="18"/>
        <v>0</v>
      </c>
      <c r="AZ34" s="15">
        <f t="shared" si="18"/>
        <v>0</v>
      </c>
      <c r="BA34" s="15">
        <f t="shared" si="18"/>
        <v>0</v>
      </c>
      <c r="BB34" s="15">
        <f t="shared" si="18"/>
        <v>0</v>
      </c>
      <c r="BC34" s="15">
        <f t="shared" si="18"/>
        <v>0</v>
      </c>
      <c r="BD34" s="15">
        <f t="shared" si="18"/>
        <v>0</v>
      </c>
      <c r="BE34" s="16">
        <f t="shared" si="18"/>
        <v>0</v>
      </c>
    </row>
    <row r="35" spans="1:57" x14ac:dyDescent="0.25">
      <c r="A35" t="s">
        <v>126</v>
      </c>
      <c r="B35">
        <v>465</v>
      </c>
      <c r="C35">
        <v>1118.25</v>
      </c>
      <c r="D35" t="s">
        <v>13</v>
      </c>
      <c r="E35">
        <v>465</v>
      </c>
      <c r="F35">
        <v>1118.25</v>
      </c>
      <c r="J35" t="str">
        <f t="shared" si="6"/>
        <v>Reserves</v>
      </c>
      <c r="M35">
        <f t="shared" si="19"/>
        <v>1211.0772322606019</v>
      </c>
      <c r="N35" s="1">
        <f t="shared" si="20"/>
        <v>0</v>
      </c>
      <c r="P35" s="14">
        <f t="shared" si="15"/>
        <v>0</v>
      </c>
      <c r="Q35" s="15">
        <f t="shared" si="15"/>
        <v>0</v>
      </c>
      <c r="R35" s="15">
        <f t="shared" si="15"/>
        <v>0</v>
      </c>
      <c r="S35" s="15">
        <f t="shared" si="15"/>
        <v>0</v>
      </c>
      <c r="T35" s="15">
        <f t="shared" si="15"/>
        <v>0</v>
      </c>
      <c r="U35" s="15">
        <f t="shared" si="15"/>
        <v>0</v>
      </c>
      <c r="V35" s="15">
        <f t="shared" si="15"/>
        <v>0</v>
      </c>
      <c r="W35" s="15">
        <f t="shared" si="15"/>
        <v>0</v>
      </c>
      <c r="X35" s="15">
        <f t="shared" si="15"/>
        <v>0</v>
      </c>
      <c r="Y35" s="15">
        <f t="shared" si="15"/>
        <v>0</v>
      </c>
      <c r="Z35" s="15">
        <f t="shared" si="16"/>
        <v>0</v>
      </c>
      <c r="AA35" s="15">
        <f t="shared" si="16"/>
        <v>0</v>
      </c>
      <c r="AB35" s="15">
        <f t="shared" si="16"/>
        <v>0</v>
      </c>
      <c r="AC35" s="15">
        <f t="shared" si="16"/>
        <v>0</v>
      </c>
      <c r="AD35" s="15">
        <f t="shared" si="16"/>
        <v>0</v>
      </c>
      <c r="AE35" s="15">
        <f t="shared" si="16"/>
        <v>0</v>
      </c>
      <c r="AF35" s="15">
        <f t="shared" si="16"/>
        <v>0</v>
      </c>
      <c r="AG35" s="15">
        <f t="shared" si="16"/>
        <v>0</v>
      </c>
      <c r="AH35" s="15">
        <f t="shared" si="16"/>
        <v>0</v>
      </c>
      <c r="AI35" s="15">
        <f t="shared" si="16"/>
        <v>0</v>
      </c>
      <c r="AJ35" s="15">
        <f t="shared" si="17"/>
        <v>0</v>
      </c>
      <c r="AK35" s="15">
        <f t="shared" si="17"/>
        <v>0</v>
      </c>
      <c r="AL35" s="15">
        <f t="shared" si="17"/>
        <v>0</v>
      </c>
      <c r="AM35" s="15">
        <f t="shared" si="17"/>
        <v>0</v>
      </c>
      <c r="AN35" s="15">
        <f t="shared" si="17"/>
        <v>0</v>
      </c>
      <c r="AO35" s="15">
        <f t="shared" si="17"/>
        <v>0</v>
      </c>
      <c r="AP35" s="15">
        <f t="shared" si="17"/>
        <v>0</v>
      </c>
      <c r="AQ35" s="15">
        <f t="shared" si="17"/>
        <v>0</v>
      </c>
      <c r="AR35" s="15">
        <f t="shared" si="17"/>
        <v>0</v>
      </c>
      <c r="AS35" s="15">
        <f t="shared" si="17"/>
        <v>0</v>
      </c>
      <c r="AT35" s="15">
        <f t="shared" si="18"/>
        <v>0</v>
      </c>
      <c r="AU35" s="15">
        <f t="shared" si="18"/>
        <v>0</v>
      </c>
      <c r="AV35" s="15">
        <f t="shared" si="18"/>
        <v>0</v>
      </c>
      <c r="AW35" s="15">
        <f t="shared" si="18"/>
        <v>0</v>
      </c>
      <c r="AX35" s="15">
        <f t="shared" si="18"/>
        <v>0</v>
      </c>
      <c r="AY35" s="15">
        <f t="shared" si="18"/>
        <v>0</v>
      </c>
      <c r="AZ35" s="15">
        <f t="shared" si="18"/>
        <v>0</v>
      </c>
      <c r="BA35" s="15">
        <f t="shared" si="18"/>
        <v>0</v>
      </c>
      <c r="BB35" s="15">
        <f t="shared" si="18"/>
        <v>0</v>
      </c>
      <c r="BC35" s="15">
        <f t="shared" si="18"/>
        <v>0</v>
      </c>
      <c r="BD35" s="15">
        <f t="shared" si="18"/>
        <v>0</v>
      </c>
      <c r="BE35" s="16">
        <f t="shared" si="18"/>
        <v>0</v>
      </c>
    </row>
    <row r="36" spans="1:57" x14ac:dyDescent="0.25">
      <c r="A36" t="s">
        <v>107</v>
      </c>
      <c r="B36">
        <v>465</v>
      </c>
      <c r="C36">
        <v>1233</v>
      </c>
      <c r="D36" t="s">
        <v>109</v>
      </c>
      <c r="E36">
        <v>465</v>
      </c>
      <c r="F36">
        <v>1233</v>
      </c>
      <c r="J36" t="str">
        <f t="shared" si="6"/>
        <v>Reserves n-1</v>
      </c>
      <c r="M36">
        <f t="shared" si="19"/>
        <v>1317.7685684519872</v>
      </c>
      <c r="N36" s="1">
        <f t="shared" si="20"/>
        <v>0</v>
      </c>
      <c r="P36" s="14">
        <f t="shared" si="15"/>
        <v>0</v>
      </c>
      <c r="Q36" s="15">
        <f t="shared" si="15"/>
        <v>0</v>
      </c>
      <c r="R36" s="15">
        <f t="shared" si="15"/>
        <v>0</v>
      </c>
      <c r="S36" s="15">
        <f t="shared" si="15"/>
        <v>0</v>
      </c>
      <c r="T36" s="15">
        <f t="shared" si="15"/>
        <v>0</v>
      </c>
      <c r="U36" s="15">
        <f t="shared" si="15"/>
        <v>0</v>
      </c>
      <c r="V36" s="15">
        <f t="shared" si="15"/>
        <v>0</v>
      </c>
      <c r="W36" s="15">
        <f t="shared" si="15"/>
        <v>0</v>
      </c>
      <c r="X36" s="15">
        <f t="shared" si="15"/>
        <v>0</v>
      </c>
      <c r="Y36" s="15">
        <f t="shared" si="15"/>
        <v>0</v>
      </c>
      <c r="Z36" s="15">
        <f t="shared" si="16"/>
        <v>0</v>
      </c>
      <c r="AA36" s="15">
        <f t="shared" si="16"/>
        <v>0</v>
      </c>
      <c r="AB36" s="15">
        <f t="shared" si="16"/>
        <v>0</v>
      </c>
      <c r="AC36" s="15">
        <f t="shared" si="16"/>
        <v>0</v>
      </c>
      <c r="AD36" s="15">
        <f t="shared" si="16"/>
        <v>0</v>
      </c>
      <c r="AE36" s="15">
        <f t="shared" si="16"/>
        <v>0</v>
      </c>
      <c r="AF36" s="15">
        <f t="shared" si="16"/>
        <v>0</v>
      </c>
      <c r="AG36" s="15">
        <f t="shared" si="16"/>
        <v>0</v>
      </c>
      <c r="AH36" s="15">
        <f t="shared" si="16"/>
        <v>0</v>
      </c>
      <c r="AI36" s="15">
        <f t="shared" si="16"/>
        <v>0</v>
      </c>
      <c r="AJ36" s="15">
        <f t="shared" si="17"/>
        <v>0</v>
      </c>
      <c r="AK36" s="15">
        <f t="shared" si="17"/>
        <v>0</v>
      </c>
      <c r="AL36" s="15">
        <f t="shared" si="17"/>
        <v>0</v>
      </c>
      <c r="AM36" s="15">
        <f t="shared" si="17"/>
        <v>0</v>
      </c>
      <c r="AN36" s="15">
        <f t="shared" si="17"/>
        <v>0</v>
      </c>
      <c r="AO36" s="15">
        <f t="shared" si="17"/>
        <v>0</v>
      </c>
      <c r="AP36" s="15">
        <f t="shared" si="17"/>
        <v>0</v>
      </c>
      <c r="AQ36" s="15">
        <f t="shared" si="17"/>
        <v>0</v>
      </c>
      <c r="AR36" s="15">
        <f t="shared" si="17"/>
        <v>0</v>
      </c>
      <c r="AS36" s="15">
        <f t="shared" si="17"/>
        <v>0</v>
      </c>
      <c r="AT36" s="15">
        <f t="shared" si="18"/>
        <v>0</v>
      </c>
      <c r="AU36" s="15">
        <f t="shared" si="18"/>
        <v>0</v>
      </c>
      <c r="AV36" s="15">
        <f t="shared" si="18"/>
        <v>0</v>
      </c>
      <c r="AW36" s="15">
        <f t="shared" si="18"/>
        <v>0</v>
      </c>
      <c r="AX36" s="15">
        <f t="shared" si="18"/>
        <v>0</v>
      </c>
      <c r="AY36" s="15">
        <f t="shared" si="18"/>
        <v>0</v>
      </c>
      <c r="AZ36" s="15">
        <f t="shared" si="18"/>
        <v>0</v>
      </c>
      <c r="BA36" s="15">
        <f t="shared" si="18"/>
        <v>0</v>
      </c>
      <c r="BB36" s="15">
        <f t="shared" si="18"/>
        <v>0</v>
      </c>
      <c r="BC36" s="15">
        <f t="shared" si="18"/>
        <v>0</v>
      </c>
      <c r="BD36" s="15">
        <f t="shared" si="18"/>
        <v>0</v>
      </c>
      <c r="BE36" s="16">
        <f t="shared" si="18"/>
        <v>0</v>
      </c>
    </row>
    <row r="37" spans="1:57" x14ac:dyDescent="0.25">
      <c r="A37" t="s">
        <v>100</v>
      </c>
      <c r="B37">
        <v>465</v>
      </c>
      <c r="C37">
        <v>1257.75</v>
      </c>
      <c r="D37" t="s">
        <v>105</v>
      </c>
      <c r="E37">
        <v>465</v>
      </c>
      <c r="F37">
        <v>1257.75</v>
      </c>
      <c r="J37" t="str">
        <f t="shared" si="6"/>
        <v>Reserves n</v>
      </c>
      <c r="M37">
        <f t="shared" si="19"/>
        <v>1340.9549069599618</v>
      </c>
      <c r="N37" s="1">
        <f t="shared" si="20"/>
        <v>0</v>
      </c>
      <c r="P37" s="14">
        <f t="shared" si="15"/>
        <v>0</v>
      </c>
      <c r="Q37" s="15">
        <f t="shared" si="15"/>
        <v>0</v>
      </c>
      <c r="R37" s="15">
        <f t="shared" si="15"/>
        <v>0</v>
      </c>
      <c r="S37" s="15">
        <f t="shared" si="15"/>
        <v>0</v>
      </c>
      <c r="T37" s="15">
        <f t="shared" si="15"/>
        <v>0</v>
      </c>
      <c r="U37" s="15">
        <f t="shared" si="15"/>
        <v>0</v>
      </c>
      <c r="V37" s="15">
        <f t="shared" si="15"/>
        <v>0</v>
      </c>
      <c r="W37" s="15">
        <f t="shared" si="15"/>
        <v>0</v>
      </c>
      <c r="X37" s="15">
        <f t="shared" si="15"/>
        <v>0</v>
      </c>
      <c r="Y37" s="15">
        <f t="shared" si="15"/>
        <v>0</v>
      </c>
      <c r="Z37" s="15">
        <f t="shared" si="16"/>
        <v>0</v>
      </c>
      <c r="AA37" s="15">
        <f t="shared" si="16"/>
        <v>0</v>
      </c>
      <c r="AB37" s="15">
        <f t="shared" si="16"/>
        <v>0</v>
      </c>
      <c r="AC37" s="15">
        <f t="shared" si="16"/>
        <v>0</v>
      </c>
      <c r="AD37" s="15">
        <f t="shared" si="16"/>
        <v>0</v>
      </c>
      <c r="AE37" s="15">
        <f t="shared" si="16"/>
        <v>0</v>
      </c>
      <c r="AF37" s="15">
        <f t="shared" si="16"/>
        <v>0</v>
      </c>
      <c r="AG37" s="15">
        <f t="shared" si="16"/>
        <v>0</v>
      </c>
      <c r="AH37" s="15">
        <f t="shared" si="16"/>
        <v>0</v>
      </c>
      <c r="AI37" s="15">
        <f t="shared" si="16"/>
        <v>0</v>
      </c>
      <c r="AJ37" s="15">
        <f t="shared" si="17"/>
        <v>0</v>
      </c>
      <c r="AK37" s="15">
        <f t="shared" si="17"/>
        <v>0</v>
      </c>
      <c r="AL37" s="15">
        <f t="shared" si="17"/>
        <v>1</v>
      </c>
      <c r="AM37" s="15">
        <f t="shared" si="17"/>
        <v>0</v>
      </c>
      <c r="AN37" s="15">
        <f t="shared" si="17"/>
        <v>0</v>
      </c>
      <c r="AO37" s="15">
        <f t="shared" si="17"/>
        <v>0</v>
      </c>
      <c r="AP37" s="15">
        <f t="shared" si="17"/>
        <v>0</v>
      </c>
      <c r="AQ37" s="15">
        <f t="shared" si="17"/>
        <v>0</v>
      </c>
      <c r="AR37" s="15">
        <f t="shared" si="17"/>
        <v>0</v>
      </c>
      <c r="AS37" s="15">
        <f t="shared" si="17"/>
        <v>0</v>
      </c>
      <c r="AT37" s="15">
        <f t="shared" si="18"/>
        <v>0</v>
      </c>
      <c r="AU37" s="15">
        <f t="shared" si="18"/>
        <v>0</v>
      </c>
      <c r="AV37" s="15">
        <f t="shared" si="18"/>
        <v>1</v>
      </c>
      <c r="AW37" s="15">
        <f t="shared" si="18"/>
        <v>0</v>
      </c>
      <c r="AX37" s="15">
        <f t="shared" si="18"/>
        <v>1</v>
      </c>
      <c r="AY37" s="15">
        <f t="shared" si="18"/>
        <v>0</v>
      </c>
      <c r="AZ37" s="15">
        <f t="shared" si="18"/>
        <v>0</v>
      </c>
      <c r="BA37" s="15">
        <f t="shared" si="18"/>
        <v>1</v>
      </c>
      <c r="BB37" s="15">
        <f t="shared" si="18"/>
        <v>0</v>
      </c>
      <c r="BC37" s="15">
        <f t="shared" si="18"/>
        <v>0</v>
      </c>
      <c r="BD37" s="15">
        <f t="shared" si="18"/>
        <v>0</v>
      </c>
      <c r="BE37" s="16">
        <f t="shared" si="18"/>
        <v>0</v>
      </c>
    </row>
    <row r="38" spans="1:57" x14ac:dyDescent="0.25">
      <c r="A38" t="s">
        <v>124</v>
      </c>
      <c r="B38">
        <v>570.75</v>
      </c>
      <c r="C38">
        <v>884.25</v>
      </c>
      <c r="D38" t="s">
        <v>12</v>
      </c>
      <c r="E38">
        <v>570.75</v>
      </c>
      <c r="F38">
        <v>884.25</v>
      </c>
      <c r="J38" t="str">
        <f t="shared" si="6"/>
        <v>Actual Sales</v>
      </c>
      <c r="M38">
        <f t="shared" si="19"/>
        <v>1052.4512459016807</v>
      </c>
      <c r="N38" s="1">
        <f t="shared" si="20"/>
        <v>0</v>
      </c>
      <c r="P38" s="14">
        <f t="shared" si="15"/>
        <v>0</v>
      </c>
      <c r="Q38" s="15">
        <f t="shared" si="15"/>
        <v>0</v>
      </c>
      <c r="R38" s="15">
        <f t="shared" si="15"/>
        <v>0</v>
      </c>
      <c r="S38" s="15">
        <f t="shared" si="15"/>
        <v>0</v>
      </c>
      <c r="T38" s="15">
        <f t="shared" si="15"/>
        <v>0</v>
      </c>
      <c r="U38" s="15">
        <f t="shared" si="15"/>
        <v>0</v>
      </c>
      <c r="V38" s="15">
        <f t="shared" si="15"/>
        <v>0</v>
      </c>
      <c r="W38" s="15">
        <f t="shared" si="15"/>
        <v>0</v>
      </c>
      <c r="X38" s="15">
        <f t="shared" si="15"/>
        <v>0</v>
      </c>
      <c r="Y38" s="15">
        <f t="shared" si="15"/>
        <v>0</v>
      </c>
      <c r="Z38" s="15">
        <f t="shared" si="16"/>
        <v>0</v>
      </c>
      <c r="AA38" s="15">
        <f t="shared" si="16"/>
        <v>0</v>
      </c>
      <c r="AB38" s="15">
        <f t="shared" si="16"/>
        <v>0</v>
      </c>
      <c r="AC38" s="15">
        <f t="shared" si="16"/>
        <v>0</v>
      </c>
      <c r="AD38" s="15">
        <f t="shared" si="16"/>
        <v>0</v>
      </c>
      <c r="AE38" s="15">
        <f t="shared" si="16"/>
        <v>0</v>
      </c>
      <c r="AF38" s="15">
        <f t="shared" si="16"/>
        <v>0</v>
      </c>
      <c r="AG38" s="15">
        <f t="shared" si="16"/>
        <v>0</v>
      </c>
      <c r="AH38" s="15">
        <f t="shared" si="16"/>
        <v>0</v>
      </c>
      <c r="AI38" s="15">
        <f t="shared" si="16"/>
        <v>0</v>
      </c>
      <c r="AJ38" s="15">
        <f t="shared" si="17"/>
        <v>0</v>
      </c>
      <c r="AK38" s="15">
        <f t="shared" si="17"/>
        <v>0</v>
      </c>
      <c r="AL38" s="15">
        <f t="shared" si="17"/>
        <v>0</v>
      </c>
      <c r="AM38" s="15">
        <f t="shared" si="17"/>
        <v>0</v>
      </c>
      <c r="AN38" s="15">
        <f t="shared" si="17"/>
        <v>0</v>
      </c>
      <c r="AO38" s="15">
        <f t="shared" si="17"/>
        <v>0</v>
      </c>
      <c r="AP38" s="15">
        <f t="shared" si="17"/>
        <v>0</v>
      </c>
      <c r="AQ38" s="15">
        <f t="shared" si="17"/>
        <v>0</v>
      </c>
      <c r="AR38" s="15">
        <f t="shared" si="17"/>
        <v>0</v>
      </c>
      <c r="AS38" s="15">
        <f t="shared" si="17"/>
        <v>0</v>
      </c>
      <c r="AT38" s="15">
        <f t="shared" si="18"/>
        <v>0</v>
      </c>
      <c r="AU38" s="15">
        <f t="shared" si="18"/>
        <v>0</v>
      </c>
      <c r="AV38" s="15">
        <f t="shared" si="18"/>
        <v>0</v>
      </c>
      <c r="AW38" s="15">
        <f t="shared" si="18"/>
        <v>0</v>
      </c>
      <c r="AX38" s="15">
        <f t="shared" si="18"/>
        <v>0</v>
      </c>
      <c r="AY38" s="15">
        <f t="shared" si="18"/>
        <v>0</v>
      </c>
      <c r="AZ38" s="15">
        <f t="shared" si="18"/>
        <v>0</v>
      </c>
      <c r="BA38" s="15">
        <f t="shared" si="18"/>
        <v>0</v>
      </c>
      <c r="BB38" s="15">
        <f t="shared" si="18"/>
        <v>0</v>
      </c>
      <c r="BC38" s="15">
        <f t="shared" si="18"/>
        <v>0</v>
      </c>
      <c r="BD38" s="15">
        <f t="shared" si="18"/>
        <v>0</v>
      </c>
      <c r="BE38" s="16">
        <f t="shared" si="18"/>
        <v>0</v>
      </c>
    </row>
    <row r="39" spans="1:57" x14ac:dyDescent="0.25">
      <c r="A39" t="s">
        <v>78</v>
      </c>
      <c r="B39">
        <v>570.75</v>
      </c>
      <c r="C39">
        <v>1071</v>
      </c>
      <c r="D39" t="s">
        <v>80</v>
      </c>
      <c r="E39">
        <v>570.75</v>
      </c>
      <c r="F39">
        <v>1071</v>
      </c>
      <c r="J39" t="str">
        <f t="shared" si="6"/>
        <v>Actual Sales n</v>
      </c>
      <c r="M39">
        <f t="shared" si="19"/>
        <v>1213.588300248482</v>
      </c>
      <c r="N39" s="1">
        <f t="shared" si="20"/>
        <v>0</v>
      </c>
      <c r="P39" s="14">
        <f t="shared" si="15"/>
        <v>0</v>
      </c>
      <c r="Q39" s="15">
        <f t="shared" si="15"/>
        <v>0</v>
      </c>
      <c r="R39" s="15">
        <f t="shared" si="15"/>
        <v>0</v>
      </c>
      <c r="S39" s="15">
        <f t="shared" si="15"/>
        <v>0</v>
      </c>
      <c r="T39" s="15">
        <f t="shared" si="15"/>
        <v>0</v>
      </c>
      <c r="U39" s="15">
        <f t="shared" si="15"/>
        <v>0</v>
      </c>
      <c r="V39" s="15">
        <f t="shared" si="15"/>
        <v>0</v>
      </c>
      <c r="W39" s="15">
        <f t="shared" si="15"/>
        <v>0</v>
      </c>
      <c r="X39" s="15">
        <f t="shared" si="15"/>
        <v>0</v>
      </c>
      <c r="Y39" s="15">
        <f t="shared" si="15"/>
        <v>0</v>
      </c>
      <c r="Z39" s="15">
        <f t="shared" si="16"/>
        <v>0</v>
      </c>
      <c r="AA39" s="15">
        <f t="shared" si="16"/>
        <v>0</v>
      </c>
      <c r="AB39" s="15">
        <f t="shared" si="16"/>
        <v>0</v>
      </c>
      <c r="AC39" s="15">
        <f t="shared" si="16"/>
        <v>0</v>
      </c>
      <c r="AD39" s="15">
        <f t="shared" si="16"/>
        <v>0</v>
      </c>
      <c r="AE39" s="15">
        <f t="shared" si="16"/>
        <v>0</v>
      </c>
      <c r="AF39" s="15">
        <f t="shared" si="16"/>
        <v>0</v>
      </c>
      <c r="AG39" s="15">
        <f t="shared" si="16"/>
        <v>0</v>
      </c>
      <c r="AH39" s="15">
        <f t="shared" si="16"/>
        <v>0</v>
      </c>
      <c r="AI39" s="15">
        <f t="shared" si="16"/>
        <v>0</v>
      </c>
      <c r="AJ39" s="15">
        <f t="shared" si="17"/>
        <v>0</v>
      </c>
      <c r="AK39" s="15">
        <f t="shared" si="17"/>
        <v>0</v>
      </c>
      <c r="AL39" s="15">
        <f t="shared" si="17"/>
        <v>0</v>
      </c>
      <c r="AM39" s="15">
        <f t="shared" si="17"/>
        <v>0</v>
      </c>
      <c r="AN39" s="15">
        <f t="shared" si="17"/>
        <v>0</v>
      </c>
      <c r="AO39" s="15">
        <f t="shared" si="17"/>
        <v>0</v>
      </c>
      <c r="AP39" s="15">
        <f t="shared" si="17"/>
        <v>0</v>
      </c>
      <c r="AQ39" s="15">
        <f t="shared" si="17"/>
        <v>0</v>
      </c>
      <c r="AR39" s="15">
        <f t="shared" si="17"/>
        <v>0</v>
      </c>
      <c r="AS39" s="15">
        <f t="shared" si="17"/>
        <v>0</v>
      </c>
      <c r="AT39" s="15">
        <f t="shared" si="18"/>
        <v>0</v>
      </c>
      <c r="AU39" s="15">
        <f t="shared" si="18"/>
        <v>0</v>
      </c>
      <c r="AV39" s="15">
        <f t="shared" si="18"/>
        <v>1</v>
      </c>
      <c r="AW39" s="15">
        <f t="shared" si="18"/>
        <v>0</v>
      </c>
      <c r="AX39" s="15">
        <f t="shared" si="18"/>
        <v>0</v>
      </c>
      <c r="AY39" s="15">
        <f t="shared" si="18"/>
        <v>0</v>
      </c>
      <c r="AZ39" s="15">
        <f t="shared" si="18"/>
        <v>0</v>
      </c>
      <c r="BA39" s="15">
        <f t="shared" si="18"/>
        <v>0</v>
      </c>
      <c r="BB39" s="15">
        <f t="shared" si="18"/>
        <v>0</v>
      </c>
      <c r="BC39" s="15">
        <f t="shared" si="18"/>
        <v>0</v>
      </c>
      <c r="BD39" s="15">
        <f t="shared" si="18"/>
        <v>0</v>
      </c>
      <c r="BE39" s="16">
        <f t="shared" si="18"/>
        <v>0</v>
      </c>
    </row>
    <row r="40" spans="1:57" x14ac:dyDescent="0.25">
      <c r="A40" t="s">
        <v>131</v>
      </c>
      <c r="B40">
        <v>631.5</v>
      </c>
      <c r="C40">
        <v>220.5</v>
      </c>
      <c r="D40" t="s">
        <v>37</v>
      </c>
      <c r="E40">
        <v>631.5</v>
      </c>
      <c r="F40">
        <v>220.5</v>
      </c>
      <c r="J40" t="str">
        <f t="shared" si="6"/>
        <v>Weeks stock on hand</v>
      </c>
      <c r="M40">
        <f t="shared" si="19"/>
        <v>668.88900424509893</v>
      </c>
      <c r="N40" s="1">
        <f t="shared" si="20"/>
        <v>0</v>
      </c>
      <c r="P40" s="14">
        <f t="shared" si="15"/>
        <v>0</v>
      </c>
      <c r="Q40" s="15">
        <f t="shared" si="15"/>
        <v>0</v>
      </c>
      <c r="R40" s="15">
        <f t="shared" si="15"/>
        <v>0</v>
      </c>
      <c r="S40" s="15">
        <f t="shared" si="15"/>
        <v>0</v>
      </c>
      <c r="T40" s="15">
        <f t="shared" si="15"/>
        <v>0</v>
      </c>
      <c r="U40" s="15">
        <f t="shared" si="15"/>
        <v>0</v>
      </c>
      <c r="V40" s="15">
        <f t="shared" si="15"/>
        <v>0</v>
      </c>
      <c r="W40" s="15">
        <f t="shared" si="15"/>
        <v>0</v>
      </c>
      <c r="X40" s="15">
        <f t="shared" si="15"/>
        <v>0</v>
      </c>
      <c r="Y40" s="15">
        <f t="shared" si="15"/>
        <v>0</v>
      </c>
      <c r="Z40" s="15">
        <f t="shared" si="16"/>
        <v>0</v>
      </c>
      <c r="AA40" s="15">
        <f t="shared" si="16"/>
        <v>0</v>
      </c>
      <c r="AB40" s="15">
        <f t="shared" si="16"/>
        <v>0</v>
      </c>
      <c r="AC40" s="15">
        <f t="shared" si="16"/>
        <v>0</v>
      </c>
      <c r="AD40" s="15">
        <f t="shared" si="16"/>
        <v>0</v>
      </c>
      <c r="AE40" s="15">
        <f t="shared" si="16"/>
        <v>0</v>
      </c>
      <c r="AF40" s="15">
        <f t="shared" si="16"/>
        <v>0</v>
      </c>
      <c r="AG40" s="15">
        <f t="shared" si="16"/>
        <v>0</v>
      </c>
      <c r="AH40" s="15">
        <f t="shared" si="16"/>
        <v>0</v>
      </c>
      <c r="AI40" s="15">
        <f t="shared" si="16"/>
        <v>0</v>
      </c>
      <c r="AJ40" s="15">
        <f t="shared" si="17"/>
        <v>0</v>
      </c>
      <c r="AK40" s="15">
        <f t="shared" si="17"/>
        <v>0</v>
      </c>
      <c r="AL40" s="15">
        <f t="shared" si="17"/>
        <v>0</v>
      </c>
      <c r="AM40" s="15">
        <f t="shared" si="17"/>
        <v>0</v>
      </c>
      <c r="AN40" s="15">
        <f t="shared" si="17"/>
        <v>0</v>
      </c>
      <c r="AO40" s="15">
        <f t="shared" si="17"/>
        <v>0</v>
      </c>
      <c r="AP40" s="15">
        <f t="shared" si="17"/>
        <v>0</v>
      </c>
      <c r="AQ40" s="15">
        <f t="shared" si="17"/>
        <v>0</v>
      </c>
      <c r="AR40" s="15">
        <f t="shared" si="17"/>
        <v>0</v>
      </c>
      <c r="AS40" s="15">
        <f t="shared" si="17"/>
        <v>0</v>
      </c>
      <c r="AT40" s="15">
        <f t="shared" si="18"/>
        <v>0</v>
      </c>
      <c r="AU40" s="15">
        <f t="shared" si="18"/>
        <v>0</v>
      </c>
      <c r="AV40" s="15">
        <f t="shared" si="18"/>
        <v>0</v>
      </c>
      <c r="AW40" s="15">
        <f t="shared" si="18"/>
        <v>0</v>
      </c>
      <c r="AX40" s="15">
        <f t="shared" si="18"/>
        <v>0</v>
      </c>
      <c r="AY40" s="15">
        <f t="shared" si="18"/>
        <v>0</v>
      </c>
      <c r="AZ40" s="15">
        <f t="shared" si="18"/>
        <v>0</v>
      </c>
      <c r="BA40" s="15">
        <f t="shared" si="18"/>
        <v>0</v>
      </c>
      <c r="BB40" s="15">
        <f t="shared" si="18"/>
        <v>0</v>
      </c>
      <c r="BC40" s="15">
        <f t="shared" si="18"/>
        <v>0</v>
      </c>
      <c r="BD40" s="15">
        <f t="shared" si="18"/>
        <v>0</v>
      </c>
      <c r="BE40" s="16">
        <f t="shared" si="18"/>
        <v>0</v>
      </c>
    </row>
    <row r="41" spans="1:57" x14ac:dyDescent="0.25">
      <c r="A41" t="s">
        <v>132</v>
      </c>
      <c r="B41">
        <v>631.5</v>
      </c>
      <c r="C41">
        <v>563.25</v>
      </c>
      <c r="D41" t="s">
        <v>139</v>
      </c>
      <c r="E41">
        <v>631.5</v>
      </c>
      <c r="F41">
        <v>563.25</v>
      </c>
      <c r="J41" t="str">
        <f t="shared" si="6"/>
        <v>Weeks stock on hand n</v>
      </c>
      <c r="M41">
        <f t="shared" si="19"/>
        <v>846.19312955140447</v>
      </c>
      <c r="N41" s="1">
        <f t="shared" si="20"/>
        <v>0</v>
      </c>
      <c r="P41" s="14">
        <f t="shared" si="15"/>
        <v>0</v>
      </c>
      <c r="Q41" s="15">
        <f t="shared" si="15"/>
        <v>0</v>
      </c>
      <c r="R41" s="15">
        <f t="shared" si="15"/>
        <v>0</v>
      </c>
      <c r="S41" s="15">
        <f t="shared" si="15"/>
        <v>0</v>
      </c>
      <c r="T41" s="15">
        <f t="shared" si="15"/>
        <v>0</v>
      </c>
      <c r="U41" s="15">
        <f t="shared" si="15"/>
        <v>0</v>
      </c>
      <c r="V41" s="15">
        <f t="shared" si="15"/>
        <v>0</v>
      </c>
      <c r="W41" s="15">
        <f t="shared" si="15"/>
        <v>0</v>
      </c>
      <c r="X41" s="15">
        <f t="shared" si="15"/>
        <v>0</v>
      </c>
      <c r="Y41" s="15">
        <f t="shared" si="15"/>
        <v>0</v>
      </c>
      <c r="Z41" s="15">
        <f t="shared" si="16"/>
        <v>0</v>
      </c>
      <c r="AA41" s="15">
        <f t="shared" si="16"/>
        <v>0</v>
      </c>
      <c r="AB41" s="15">
        <f t="shared" si="16"/>
        <v>0</v>
      </c>
      <c r="AC41" s="15">
        <f t="shared" si="16"/>
        <v>0</v>
      </c>
      <c r="AD41" s="15">
        <f t="shared" si="16"/>
        <v>0</v>
      </c>
      <c r="AE41" s="15">
        <f t="shared" si="16"/>
        <v>0</v>
      </c>
      <c r="AF41" s="15">
        <f t="shared" si="16"/>
        <v>0</v>
      </c>
      <c r="AG41" s="15">
        <f t="shared" si="16"/>
        <v>0</v>
      </c>
      <c r="AH41" s="15">
        <f t="shared" si="16"/>
        <v>0</v>
      </c>
      <c r="AI41" s="15">
        <f t="shared" si="16"/>
        <v>0</v>
      </c>
      <c r="AJ41" s="15">
        <f t="shared" si="17"/>
        <v>0</v>
      </c>
      <c r="AK41" s="15">
        <f t="shared" si="17"/>
        <v>0</v>
      </c>
      <c r="AL41" s="15">
        <f t="shared" si="17"/>
        <v>0</v>
      </c>
      <c r="AM41" s="15">
        <f t="shared" si="17"/>
        <v>0</v>
      </c>
      <c r="AN41" s="15">
        <f t="shared" si="17"/>
        <v>1</v>
      </c>
      <c r="AO41" s="15">
        <f t="shared" si="17"/>
        <v>1</v>
      </c>
      <c r="AP41" s="15">
        <f t="shared" si="17"/>
        <v>1</v>
      </c>
      <c r="AQ41" s="15">
        <f t="shared" si="17"/>
        <v>1</v>
      </c>
      <c r="AR41" s="15">
        <f t="shared" si="17"/>
        <v>0</v>
      </c>
      <c r="AS41" s="15">
        <f t="shared" si="17"/>
        <v>1</v>
      </c>
      <c r="AT41" s="15">
        <f t="shared" si="18"/>
        <v>1</v>
      </c>
      <c r="AU41" s="15">
        <f t="shared" si="18"/>
        <v>1</v>
      </c>
      <c r="AV41" s="15">
        <f t="shared" si="18"/>
        <v>1</v>
      </c>
      <c r="AW41" s="15">
        <f t="shared" si="18"/>
        <v>0</v>
      </c>
      <c r="AX41" s="15">
        <f t="shared" si="18"/>
        <v>0</v>
      </c>
      <c r="AY41" s="15">
        <f t="shared" si="18"/>
        <v>0</v>
      </c>
      <c r="AZ41" s="15">
        <f t="shared" si="18"/>
        <v>0</v>
      </c>
      <c r="BA41" s="15">
        <f t="shared" si="18"/>
        <v>0</v>
      </c>
      <c r="BB41" s="15">
        <f t="shared" si="18"/>
        <v>0</v>
      </c>
      <c r="BC41" s="15">
        <f t="shared" si="18"/>
        <v>0</v>
      </c>
      <c r="BD41" s="15">
        <f t="shared" si="18"/>
        <v>0</v>
      </c>
      <c r="BE41" s="16">
        <f t="shared" si="18"/>
        <v>0</v>
      </c>
    </row>
    <row r="42" spans="1:57" x14ac:dyDescent="0.25">
      <c r="A42" t="s">
        <v>122</v>
      </c>
      <c r="B42">
        <v>631.5</v>
      </c>
      <c r="C42">
        <v>612.75</v>
      </c>
      <c r="D42" t="s">
        <v>3</v>
      </c>
      <c r="E42">
        <v>631.5</v>
      </c>
      <c r="F42">
        <v>612.75</v>
      </c>
      <c r="J42" t="str">
        <f t="shared" si="6"/>
        <v>Available cash</v>
      </c>
      <c r="M42">
        <f t="shared" si="19"/>
        <v>879.91750323538849</v>
      </c>
      <c r="N42" s="1">
        <f t="shared" si="20"/>
        <v>0</v>
      </c>
      <c r="P42" s="14">
        <f t="shared" si="15"/>
        <v>0</v>
      </c>
      <c r="Q42" s="15">
        <f t="shared" si="15"/>
        <v>0</v>
      </c>
      <c r="R42" s="15">
        <f t="shared" si="15"/>
        <v>0</v>
      </c>
      <c r="S42" s="15">
        <f t="shared" si="15"/>
        <v>0</v>
      </c>
      <c r="T42" s="15">
        <f t="shared" si="15"/>
        <v>0</v>
      </c>
      <c r="U42" s="15">
        <f t="shared" si="15"/>
        <v>0</v>
      </c>
      <c r="V42" s="15">
        <f t="shared" si="15"/>
        <v>0</v>
      </c>
      <c r="W42" s="15">
        <f t="shared" si="15"/>
        <v>0</v>
      </c>
      <c r="X42" s="15">
        <f t="shared" si="15"/>
        <v>0</v>
      </c>
      <c r="Y42" s="15">
        <f t="shared" si="15"/>
        <v>0</v>
      </c>
      <c r="Z42" s="15">
        <f t="shared" si="16"/>
        <v>0</v>
      </c>
      <c r="AA42" s="15">
        <f t="shared" si="16"/>
        <v>0</v>
      </c>
      <c r="AB42" s="15">
        <f t="shared" si="16"/>
        <v>0</v>
      </c>
      <c r="AC42" s="15">
        <f t="shared" si="16"/>
        <v>0</v>
      </c>
      <c r="AD42" s="15">
        <f t="shared" si="16"/>
        <v>0</v>
      </c>
      <c r="AE42" s="15">
        <f t="shared" si="16"/>
        <v>0</v>
      </c>
      <c r="AF42" s="15">
        <f t="shared" si="16"/>
        <v>0</v>
      </c>
      <c r="AG42" s="15">
        <f t="shared" si="16"/>
        <v>0</v>
      </c>
      <c r="AH42" s="15">
        <f t="shared" si="16"/>
        <v>0</v>
      </c>
      <c r="AI42" s="15">
        <f t="shared" si="16"/>
        <v>0</v>
      </c>
      <c r="AJ42" s="15">
        <f t="shared" si="17"/>
        <v>0</v>
      </c>
      <c r="AK42" s="15">
        <f t="shared" si="17"/>
        <v>0</v>
      </c>
      <c r="AL42" s="15">
        <f t="shared" si="17"/>
        <v>0</v>
      </c>
      <c r="AM42" s="15">
        <f t="shared" si="17"/>
        <v>0</v>
      </c>
      <c r="AN42" s="15">
        <f t="shared" si="17"/>
        <v>0</v>
      </c>
      <c r="AO42" s="15">
        <f t="shared" si="17"/>
        <v>0</v>
      </c>
      <c r="AP42" s="15">
        <f t="shared" si="17"/>
        <v>0</v>
      </c>
      <c r="AQ42" s="15">
        <f t="shared" si="17"/>
        <v>0</v>
      </c>
      <c r="AR42" s="15">
        <f t="shared" si="17"/>
        <v>0</v>
      </c>
      <c r="AS42" s="15">
        <f t="shared" si="17"/>
        <v>0</v>
      </c>
      <c r="AT42" s="15">
        <f t="shared" si="18"/>
        <v>0</v>
      </c>
      <c r="AU42" s="15">
        <f t="shared" si="18"/>
        <v>0</v>
      </c>
      <c r="AV42" s="15">
        <f t="shared" si="18"/>
        <v>0</v>
      </c>
      <c r="AW42" s="15">
        <f t="shared" si="18"/>
        <v>0</v>
      </c>
      <c r="AX42" s="15">
        <f t="shared" si="18"/>
        <v>0</v>
      </c>
      <c r="AY42" s="15">
        <f t="shared" si="18"/>
        <v>0</v>
      </c>
      <c r="AZ42" s="15">
        <f t="shared" si="18"/>
        <v>0</v>
      </c>
      <c r="BA42" s="15">
        <f t="shared" si="18"/>
        <v>0</v>
      </c>
      <c r="BB42" s="15">
        <f t="shared" si="18"/>
        <v>0</v>
      </c>
      <c r="BC42" s="15">
        <f t="shared" si="18"/>
        <v>0</v>
      </c>
      <c r="BD42" s="15">
        <f t="shared" si="18"/>
        <v>0</v>
      </c>
      <c r="BE42" s="16">
        <f t="shared" si="18"/>
        <v>0</v>
      </c>
    </row>
    <row r="43" spans="1:57" x14ac:dyDescent="0.25">
      <c r="A43" t="s">
        <v>61</v>
      </c>
      <c r="B43">
        <v>631.5</v>
      </c>
      <c r="C43">
        <v>859.5</v>
      </c>
      <c r="D43" t="s">
        <v>110</v>
      </c>
      <c r="E43">
        <v>631.5</v>
      </c>
      <c r="F43">
        <v>859.5</v>
      </c>
      <c r="J43" t="str">
        <f t="shared" si="6"/>
        <v>Available cash n</v>
      </c>
      <c r="M43">
        <f t="shared" si="19"/>
        <v>1066.5516865112538</v>
      </c>
      <c r="N43" s="1">
        <f t="shared" si="20"/>
        <v>0</v>
      </c>
      <c r="P43" s="17">
        <f t="shared" si="15"/>
        <v>0</v>
      </c>
      <c r="Q43" s="18">
        <f t="shared" si="15"/>
        <v>0</v>
      </c>
      <c r="R43" s="18">
        <f t="shared" si="15"/>
        <v>0</v>
      </c>
      <c r="S43" s="18">
        <f t="shared" si="15"/>
        <v>0</v>
      </c>
      <c r="T43" s="18">
        <f t="shared" si="15"/>
        <v>0</v>
      </c>
      <c r="U43" s="18">
        <f t="shared" si="15"/>
        <v>0</v>
      </c>
      <c r="V43" s="18">
        <f t="shared" si="15"/>
        <v>0</v>
      </c>
      <c r="W43" s="18">
        <f t="shared" si="15"/>
        <v>0</v>
      </c>
      <c r="X43" s="18">
        <f t="shared" si="15"/>
        <v>0</v>
      </c>
      <c r="Y43" s="18">
        <f t="shared" si="15"/>
        <v>0</v>
      </c>
      <c r="Z43" s="18">
        <f t="shared" si="16"/>
        <v>0</v>
      </c>
      <c r="AA43" s="18">
        <f t="shared" si="16"/>
        <v>0</v>
      </c>
      <c r="AB43" s="18">
        <f t="shared" si="16"/>
        <v>0</v>
      </c>
      <c r="AC43" s="18">
        <f t="shared" si="16"/>
        <v>0</v>
      </c>
      <c r="AD43" s="18">
        <f t="shared" si="16"/>
        <v>0</v>
      </c>
      <c r="AE43" s="18">
        <f t="shared" si="16"/>
        <v>0</v>
      </c>
      <c r="AF43" s="18">
        <f t="shared" si="16"/>
        <v>0</v>
      </c>
      <c r="AG43" s="18">
        <f t="shared" si="16"/>
        <v>0</v>
      </c>
      <c r="AH43" s="18">
        <f t="shared" si="16"/>
        <v>0</v>
      </c>
      <c r="AI43" s="18">
        <f t="shared" si="16"/>
        <v>0</v>
      </c>
      <c r="AJ43" s="18">
        <f t="shared" si="17"/>
        <v>0</v>
      </c>
      <c r="AK43" s="18">
        <f t="shared" si="17"/>
        <v>0</v>
      </c>
      <c r="AL43" s="18">
        <f t="shared" si="17"/>
        <v>0</v>
      </c>
      <c r="AM43" s="18">
        <f t="shared" si="17"/>
        <v>0</v>
      </c>
      <c r="AN43" s="18">
        <f t="shared" si="17"/>
        <v>0</v>
      </c>
      <c r="AO43" s="18">
        <f t="shared" si="17"/>
        <v>0</v>
      </c>
      <c r="AP43" s="18">
        <f t="shared" si="17"/>
        <v>0</v>
      </c>
      <c r="AQ43" s="18">
        <f t="shared" si="17"/>
        <v>0</v>
      </c>
      <c r="AR43" s="18">
        <f t="shared" si="17"/>
        <v>0</v>
      </c>
      <c r="AS43" s="18">
        <f t="shared" si="17"/>
        <v>0</v>
      </c>
      <c r="AT43" s="18">
        <f t="shared" si="18"/>
        <v>0</v>
      </c>
      <c r="AU43" s="18">
        <f t="shared" si="18"/>
        <v>0</v>
      </c>
      <c r="AV43" s="18">
        <f t="shared" si="18"/>
        <v>0</v>
      </c>
      <c r="AW43" s="18">
        <f t="shared" si="18"/>
        <v>0</v>
      </c>
      <c r="AX43" s="18">
        <f t="shared" si="18"/>
        <v>1</v>
      </c>
      <c r="AY43" s="18">
        <f t="shared" si="18"/>
        <v>0</v>
      </c>
      <c r="AZ43" s="18">
        <f t="shared" si="18"/>
        <v>0</v>
      </c>
      <c r="BA43" s="18">
        <f t="shared" si="18"/>
        <v>0</v>
      </c>
      <c r="BB43" s="18">
        <f t="shared" si="18"/>
        <v>0</v>
      </c>
      <c r="BC43" s="18">
        <f t="shared" si="18"/>
        <v>0</v>
      </c>
      <c r="BD43" s="18">
        <f t="shared" si="18"/>
        <v>0</v>
      </c>
      <c r="BE43" s="19">
        <f t="shared" si="18"/>
        <v>0</v>
      </c>
    </row>
    <row r="44" spans="1:57" x14ac:dyDescent="0.25">
      <c r="A44" t="s">
        <v>54</v>
      </c>
      <c r="G44" t="s">
        <v>56</v>
      </c>
      <c r="H44" t="s">
        <v>55</v>
      </c>
      <c r="M44" t="str">
        <f t="shared" si="19"/>
        <v/>
      </c>
      <c r="N44" s="1" t="str">
        <f t="shared" si="20"/>
        <v/>
      </c>
    </row>
    <row r="45" spans="1:57" x14ac:dyDescent="0.25">
      <c r="A45" t="s">
        <v>59</v>
      </c>
      <c r="G45" t="s">
        <v>56</v>
      </c>
      <c r="H45" t="s">
        <v>60</v>
      </c>
      <c r="M45" t="str">
        <f t="shared" si="19"/>
        <v/>
      </c>
      <c r="N45" s="1" t="str">
        <f t="shared" si="20"/>
        <v/>
      </c>
    </row>
    <row r="46" spans="1:57" x14ac:dyDescent="0.25">
      <c r="A46" t="s">
        <v>64</v>
      </c>
      <c r="G46" t="s">
        <v>60</v>
      </c>
      <c r="H46" t="s">
        <v>65</v>
      </c>
      <c r="M46" t="str">
        <f t="shared" si="19"/>
        <v/>
      </c>
      <c r="N46" s="1" t="str">
        <f t="shared" si="20"/>
        <v/>
      </c>
    </row>
    <row r="47" spans="1:57" x14ac:dyDescent="0.25">
      <c r="A47" t="s">
        <v>66</v>
      </c>
      <c r="G47" t="s">
        <v>67</v>
      </c>
      <c r="H47" t="s">
        <v>56</v>
      </c>
      <c r="M47" t="str">
        <f t="shared" si="19"/>
        <v/>
      </c>
      <c r="N47" s="1" t="str">
        <f t="shared" si="20"/>
        <v/>
      </c>
    </row>
    <row r="48" spans="1:57" x14ac:dyDescent="0.25">
      <c r="A48" t="s">
        <v>70</v>
      </c>
      <c r="G48" t="s">
        <v>60</v>
      </c>
      <c r="H48" t="s">
        <v>71</v>
      </c>
      <c r="M48" t="str">
        <f t="shared" si="19"/>
        <v/>
      </c>
      <c r="N48" s="1" t="str">
        <f t="shared" si="20"/>
        <v/>
      </c>
    </row>
    <row r="49" spans="1:14" x14ac:dyDescent="0.25">
      <c r="A49" t="s">
        <v>72</v>
      </c>
      <c r="G49" t="s">
        <v>60</v>
      </c>
      <c r="H49" t="s">
        <v>73</v>
      </c>
      <c r="M49" t="str">
        <f t="shared" si="19"/>
        <v/>
      </c>
      <c r="N49" s="1" t="str">
        <f t="shared" si="20"/>
        <v/>
      </c>
    </row>
    <row r="50" spans="1:14" x14ac:dyDescent="0.25">
      <c r="A50" t="s">
        <v>74</v>
      </c>
      <c r="G50" t="s">
        <v>67</v>
      </c>
      <c r="H50" t="s">
        <v>60</v>
      </c>
      <c r="M50" t="str">
        <f t="shared" si="19"/>
        <v/>
      </c>
      <c r="N50" s="1" t="str">
        <f t="shared" si="20"/>
        <v/>
      </c>
    </row>
    <row r="51" spans="1:14" x14ac:dyDescent="0.25">
      <c r="A51" t="s">
        <v>75</v>
      </c>
      <c r="G51" t="s">
        <v>76</v>
      </c>
      <c r="H51" t="s">
        <v>51</v>
      </c>
      <c r="M51" t="str">
        <f t="shared" si="19"/>
        <v/>
      </c>
      <c r="N51" s="1" t="str">
        <f t="shared" si="20"/>
        <v/>
      </c>
    </row>
    <row r="52" spans="1:14" x14ac:dyDescent="0.25">
      <c r="A52" t="s">
        <v>77</v>
      </c>
      <c r="G52" t="s">
        <v>76</v>
      </c>
      <c r="H52" t="s">
        <v>60</v>
      </c>
      <c r="M52" t="str">
        <f t="shared" si="19"/>
        <v/>
      </c>
      <c r="N52" s="1" t="str">
        <f t="shared" si="20"/>
        <v/>
      </c>
    </row>
    <row r="53" spans="1:14" x14ac:dyDescent="0.25">
      <c r="A53" t="s">
        <v>79</v>
      </c>
      <c r="G53" t="s">
        <v>80</v>
      </c>
      <c r="H53" t="s">
        <v>76</v>
      </c>
      <c r="M53" t="str">
        <f t="shared" si="19"/>
        <v/>
      </c>
      <c r="N53" s="1" t="str">
        <f t="shared" si="20"/>
        <v/>
      </c>
    </row>
    <row r="54" spans="1:14" x14ac:dyDescent="0.25">
      <c r="A54" t="s">
        <v>81</v>
      </c>
      <c r="G54" t="s">
        <v>56</v>
      </c>
      <c r="H54" t="s">
        <v>82</v>
      </c>
      <c r="M54" t="str">
        <f t="shared" si="19"/>
        <v/>
      </c>
      <c r="N54" s="1" t="str">
        <f t="shared" si="20"/>
        <v/>
      </c>
    </row>
    <row r="55" spans="1:14" x14ac:dyDescent="0.25">
      <c r="A55" t="s">
        <v>88</v>
      </c>
      <c r="G55" t="s">
        <v>90</v>
      </c>
      <c r="H55" t="s">
        <v>89</v>
      </c>
      <c r="M55" t="str">
        <f t="shared" si="19"/>
        <v/>
      </c>
      <c r="N55" s="1" t="str">
        <f t="shared" si="20"/>
        <v/>
      </c>
    </row>
    <row r="56" spans="1:14" x14ac:dyDescent="0.25">
      <c r="A56" t="s">
        <v>91</v>
      </c>
      <c r="G56" t="s">
        <v>90</v>
      </c>
      <c r="H56" t="s">
        <v>92</v>
      </c>
      <c r="M56" t="str">
        <f t="shared" si="19"/>
        <v/>
      </c>
      <c r="N56" s="1" t="str">
        <f t="shared" si="20"/>
        <v/>
      </c>
    </row>
    <row r="57" spans="1:14" x14ac:dyDescent="0.25">
      <c r="A57" t="s">
        <v>93</v>
      </c>
      <c r="G57" t="s">
        <v>90</v>
      </c>
      <c r="H57" t="s">
        <v>94</v>
      </c>
      <c r="M57" t="str">
        <f t="shared" si="19"/>
        <v/>
      </c>
      <c r="N57" s="1" t="str">
        <f t="shared" si="20"/>
        <v/>
      </c>
    </row>
    <row r="58" spans="1:14" x14ac:dyDescent="0.25">
      <c r="A58" t="s">
        <v>96</v>
      </c>
      <c r="G58" t="s">
        <v>56</v>
      </c>
      <c r="H58" t="s">
        <v>152</v>
      </c>
      <c r="M58" t="str">
        <f t="shared" si="19"/>
        <v/>
      </c>
      <c r="N58" s="1" t="str">
        <f t="shared" si="20"/>
        <v/>
      </c>
    </row>
    <row r="59" spans="1:14" x14ac:dyDescent="0.25">
      <c r="A59" t="s">
        <v>97</v>
      </c>
      <c r="G59" t="s">
        <v>56</v>
      </c>
      <c r="H59" t="s">
        <v>153</v>
      </c>
      <c r="M59" t="str">
        <f t="shared" si="19"/>
        <v/>
      </c>
      <c r="N59" s="1" t="str">
        <f t="shared" si="20"/>
        <v/>
      </c>
    </row>
    <row r="60" spans="1:14" x14ac:dyDescent="0.25">
      <c r="A60" t="s">
        <v>98</v>
      </c>
      <c r="G60" t="s">
        <v>99</v>
      </c>
      <c r="H60" t="s">
        <v>151</v>
      </c>
      <c r="M60" t="str">
        <f t="shared" si="19"/>
        <v/>
      </c>
      <c r="N60" s="1" t="str">
        <f t="shared" si="20"/>
        <v/>
      </c>
    </row>
    <row r="61" spans="1:14" x14ac:dyDescent="0.25">
      <c r="A61" t="s">
        <v>101</v>
      </c>
      <c r="G61" t="s">
        <v>51</v>
      </c>
      <c r="H61" t="s">
        <v>90</v>
      </c>
      <c r="M61" t="str">
        <f t="shared" si="19"/>
        <v/>
      </c>
      <c r="N61" s="1" t="str">
        <f t="shared" si="20"/>
        <v/>
      </c>
    </row>
    <row r="62" spans="1:14" x14ac:dyDescent="0.25">
      <c r="A62" t="s">
        <v>104</v>
      </c>
      <c r="G62" t="s">
        <v>105</v>
      </c>
      <c r="H62" t="s">
        <v>76</v>
      </c>
      <c r="M62" t="str">
        <f t="shared" si="19"/>
        <v/>
      </c>
      <c r="N62" s="1" t="str">
        <f t="shared" si="20"/>
        <v/>
      </c>
    </row>
    <row r="63" spans="1:14" x14ac:dyDescent="0.25">
      <c r="A63" t="s">
        <v>106</v>
      </c>
      <c r="G63" t="s">
        <v>105</v>
      </c>
      <c r="H63" t="s">
        <v>80</v>
      </c>
      <c r="M63" t="str">
        <f t="shared" si="19"/>
        <v/>
      </c>
      <c r="N63" s="1" t="str">
        <f t="shared" si="20"/>
        <v/>
      </c>
    </row>
    <row r="64" spans="1:14" x14ac:dyDescent="0.25">
      <c r="A64" t="s">
        <v>108</v>
      </c>
      <c r="G64" t="s">
        <v>110</v>
      </c>
      <c r="H64" t="s">
        <v>109</v>
      </c>
      <c r="M64" t="str">
        <f t="shared" si="19"/>
        <v/>
      </c>
      <c r="N64" s="1" t="str">
        <f t="shared" si="20"/>
        <v/>
      </c>
    </row>
    <row r="65" spans="1:14" x14ac:dyDescent="0.25">
      <c r="A65" t="s">
        <v>111</v>
      </c>
      <c r="G65" t="s">
        <v>105</v>
      </c>
      <c r="H65" t="s">
        <v>109</v>
      </c>
      <c r="N65" s="1"/>
    </row>
    <row r="66" spans="1:14" x14ac:dyDescent="0.25">
      <c r="A66" t="s">
        <v>112</v>
      </c>
      <c r="G66" t="s">
        <v>56</v>
      </c>
      <c r="H66" t="s">
        <v>90</v>
      </c>
      <c r="N66" s="1"/>
    </row>
    <row r="67" spans="1:14" x14ac:dyDescent="0.25">
      <c r="A67" t="s">
        <v>113</v>
      </c>
      <c r="G67" t="s">
        <v>76</v>
      </c>
      <c r="H67" t="s">
        <v>67</v>
      </c>
      <c r="N67" s="1"/>
    </row>
    <row r="68" spans="1:14" x14ac:dyDescent="0.25">
      <c r="A68" t="s">
        <v>114</v>
      </c>
      <c r="G68" t="s">
        <v>105</v>
      </c>
      <c r="H68" t="s">
        <v>115</v>
      </c>
      <c r="N68" s="1"/>
    </row>
    <row r="69" spans="1:14" x14ac:dyDescent="0.25">
      <c r="A69" t="s">
        <v>116</v>
      </c>
      <c r="G69" t="s">
        <v>67</v>
      </c>
      <c r="H69" t="s">
        <v>110</v>
      </c>
      <c r="N69" s="1"/>
    </row>
    <row r="70" spans="1:14" x14ac:dyDescent="0.25">
      <c r="A70" t="s">
        <v>118</v>
      </c>
      <c r="G70" t="s">
        <v>56</v>
      </c>
      <c r="H70" t="s">
        <v>99</v>
      </c>
      <c r="N70" s="1"/>
    </row>
    <row r="71" spans="1:14" x14ac:dyDescent="0.25">
      <c r="A71" t="s">
        <v>137</v>
      </c>
      <c r="G71" t="s">
        <v>139</v>
      </c>
      <c r="H71" t="s">
        <v>138</v>
      </c>
      <c r="N71" s="1"/>
    </row>
    <row r="72" spans="1:14" x14ac:dyDescent="0.25">
      <c r="A72" t="s">
        <v>140</v>
      </c>
      <c r="G72" t="s">
        <v>139</v>
      </c>
      <c r="H72" t="s">
        <v>141</v>
      </c>
      <c r="N72" s="1"/>
    </row>
    <row r="73" spans="1:14" x14ac:dyDescent="0.25">
      <c r="A73" t="s">
        <v>142</v>
      </c>
      <c r="G73" t="s">
        <v>139</v>
      </c>
      <c r="H73" t="s">
        <v>71</v>
      </c>
      <c r="N73" s="1"/>
    </row>
    <row r="74" spans="1:14" x14ac:dyDescent="0.25">
      <c r="A74" t="s">
        <v>143</v>
      </c>
      <c r="G74" t="s">
        <v>139</v>
      </c>
      <c r="H74" t="s">
        <v>60</v>
      </c>
      <c r="N74" s="1"/>
    </row>
    <row r="75" spans="1:14" x14ac:dyDescent="0.25">
      <c r="A75" t="s">
        <v>144</v>
      </c>
      <c r="G75" t="s">
        <v>139</v>
      </c>
      <c r="H75" t="s">
        <v>76</v>
      </c>
      <c r="N75" s="1"/>
    </row>
    <row r="76" spans="1:14" x14ac:dyDescent="0.25">
      <c r="A76" t="s">
        <v>145</v>
      </c>
      <c r="G76" t="s">
        <v>139</v>
      </c>
      <c r="H76" t="s">
        <v>73</v>
      </c>
      <c r="N76" s="1"/>
    </row>
    <row r="77" spans="1:14" x14ac:dyDescent="0.25">
      <c r="A77" t="s">
        <v>146</v>
      </c>
      <c r="G77" t="s">
        <v>139</v>
      </c>
      <c r="H77" t="s">
        <v>147</v>
      </c>
      <c r="N77" s="1"/>
    </row>
    <row r="78" spans="1:14" x14ac:dyDescent="0.25">
      <c r="A78" t="s">
        <v>148</v>
      </c>
      <c r="G78" t="s">
        <v>139</v>
      </c>
      <c r="H78" t="s">
        <v>149</v>
      </c>
      <c r="N78" s="1"/>
    </row>
    <row r="79" spans="1:14" x14ac:dyDescent="0.25">
      <c r="N79" s="1"/>
    </row>
    <row r="80" spans="1:14" x14ac:dyDescent="0.25">
      <c r="N80" s="1"/>
    </row>
    <row r="81" spans="14:14" x14ac:dyDescent="0.25">
      <c r="N81" s="1"/>
    </row>
    <row r="82" spans="14:14" x14ac:dyDescent="0.25">
      <c r="N82" s="1"/>
    </row>
    <row r="83" spans="14:14" x14ac:dyDescent="0.25">
      <c r="N83" s="1"/>
    </row>
  </sheetData>
  <autoFilter ref="A1:N64">
    <sortState ref="A2:R64">
      <sortCondition ref="E2:E64"/>
      <sortCondition ref="F2:F64"/>
    </sortState>
  </autoFilter>
  <sortState ref="A2:H83">
    <sortCondition ref="E2:E83"/>
    <sortCondition ref="F2:F83"/>
  </sortState>
  <conditionalFormatting sqref="J2:J43">
    <cfRule type="expression" dxfId="3" priority="1">
      <formula>J2&lt;&gt;$D2</formula>
    </cfRule>
  </conditionalFormatting>
  <conditionalFormatting sqref="P2:BE43">
    <cfRule type="expression" dxfId="2" priority="352">
      <formula>COUNTIFS($H$44:$H$78,$J2,$G$44:$G$78,P$1)</formula>
    </cfRule>
    <cfRule type="expression" dxfId="1" priority="353">
      <formula>$J2=P$1</formula>
    </cfRule>
    <cfRule type="expression" dxfId="0" priority="354">
      <formula>P2&gt;0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Stock Calc Chart</vt:lpstr>
      <vt:lpstr>Sheet1</vt:lpstr>
      <vt:lpstr>Shapes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Admin</cp:lastModifiedBy>
  <dcterms:created xsi:type="dcterms:W3CDTF">2014-10-06T10:06:32Z</dcterms:created>
  <dcterms:modified xsi:type="dcterms:W3CDTF">2014-11-21T05:46:44Z</dcterms:modified>
</cp:coreProperties>
</file>