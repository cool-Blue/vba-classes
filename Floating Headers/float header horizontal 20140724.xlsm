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!Other\Excel\"/>
    </mc:Choice>
  </mc:AlternateContent>
  <bookViews>
    <workbookView xWindow="0" yWindow="0" windowWidth="13695" windowHeight="9540" firstSheet="2" activeTab="6"/>
  </bookViews>
  <sheets>
    <sheet name="Week" sheetId="16" r:id="rId1"/>
    <sheet name="Month" sheetId="23" r:id="rId2"/>
    <sheet name="Sample" sheetId="22" r:id="rId3"/>
    <sheet name="Week (2)" sheetId="24" r:id="rId4"/>
    <sheet name="©" sheetId="20" r:id="rId5"/>
    <sheet name="Week (3)" sheetId="25" r:id="rId6"/>
    <sheet name="setTimer" sheetId="26" r:id="rId7"/>
  </sheets>
  <functionGroups builtInGroupCount="18"/>
  <definedNames>
    <definedName name="Blink">Month!$P$1</definedName>
    <definedName name="colHDR">Sample!$Y$14</definedName>
    <definedName name="colsHDRRange" localSheetId="3">'Week (2)'!$B$1:$H$12</definedName>
    <definedName name="colsHDRRange" localSheetId="5">'Week (3)'!$B$1:$H$12</definedName>
    <definedName name="colsHDRRange">Week!$B$1:$H$12</definedName>
    <definedName name="_xlnm.Print_Area" localSheetId="1">Month!$B$1:$AA$26</definedName>
    <definedName name="_xlnm.Print_Area" localSheetId="2">Sample!$B$1:$W$25</definedName>
    <definedName name="_xlnm.Print_Area" localSheetId="0">Week!$B$2:$BC$20</definedName>
    <definedName name="_xlnm.Print_Area" localSheetId="3">'Week (2)'!$B$2:$BC$20</definedName>
    <definedName name="_xlnm.Print_Area" localSheetId="5">'Week (3)'!$B$2:$BC$20</definedName>
    <definedName name="_xlnm.Print_Titles" localSheetId="1">Month!$5:$7</definedName>
    <definedName name="_xlnm.Print_Titles" localSheetId="2">Sample!$5:$7</definedName>
    <definedName name="_xlnm.Print_Titles" localSheetId="0">Week!$14:$15</definedName>
    <definedName name="_xlnm.Print_Titles" localSheetId="3">'Week (2)'!$14:$15</definedName>
    <definedName name="_xlnm.Print_Titles" localSheetId="5">'Week (3)'!$14:$15</definedName>
    <definedName name="rowsHDRRange" localSheetId="3">'Week (2)'!$B$14:$B$20</definedName>
    <definedName name="rowsHDRRange" localSheetId="5">'Week (3)'!$B$14:$B$20</definedName>
    <definedName name="rowsHDRRange">Week!$B$14:$B$20</definedName>
    <definedName name="valuevx">42.314159</definedName>
  </definedNames>
  <calcPr calcId="152511" refMode="R1C1"/>
</workbook>
</file>

<file path=xl/calcChain.xml><?xml version="1.0" encoding="utf-8"?>
<calcChain xmlns="http://schemas.openxmlformats.org/spreadsheetml/2006/main">
  <c r="D3" i="20" l="1"/>
  <c r="D4" i="20"/>
  <c r="D5" i="20"/>
  <c r="D6" i="20"/>
  <c r="D7" i="20"/>
  <c r="D8" i="20"/>
  <c r="D9" i="20"/>
  <c r="D10" i="20"/>
  <c r="D11" i="20"/>
  <c r="D12" i="20"/>
  <c r="D13" i="20"/>
  <c r="D2" i="20"/>
  <c r="BB15" i="25" l="1"/>
  <c r="BA15" i="25"/>
  <c r="AZ15" i="25"/>
  <c r="AY15" i="25"/>
  <c r="AX15" i="25"/>
  <c r="AW15" i="25"/>
  <c r="AV15" i="25"/>
  <c r="AU15" i="25"/>
  <c r="AT15" i="25"/>
  <c r="AS15" i="25"/>
  <c r="AR15" i="25"/>
  <c r="AQ15" i="25"/>
  <c r="AP15" i="25"/>
  <c r="AO15" i="25"/>
  <c r="AN15" i="25"/>
  <c r="AM15" i="25"/>
  <c r="AL15" i="25"/>
  <c r="AK15" i="25"/>
  <c r="AJ15" i="25"/>
  <c r="AI15" i="25"/>
  <c r="AH15" i="25"/>
  <c r="AG15" i="25"/>
  <c r="AF15" i="25"/>
  <c r="AE15" i="25"/>
  <c r="AD15" i="25"/>
  <c r="AC15" i="25"/>
  <c r="AB15" i="25"/>
  <c r="AA15" i="25"/>
  <c r="Z15" i="25"/>
  <c r="Y15" i="25"/>
  <c r="X15" i="25"/>
  <c r="W15" i="25"/>
  <c r="V15" i="25"/>
  <c r="U15" i="25"/>
  <c r="T15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C15" i="25"/>
  <c r="BB15" i="24" l="1"/>
  <c r="BA15" i="24"/>
  <c r="AZ15" i="24"/>
  <c r="AY15" i="24"/>
  <c r="AX15" i="24"/>
  <c r="AW15" i="24"/>
  <c r="AV15" i="24"/>
  <c r="AU15" i="24"/>
  <c r="AT15" i="24"/>
  <c r="AS15" i="24"/>
  <c r="AR15" i="24"/>
  <c r="AQ15" i="24"/>
  <c r="AP15" i="24"/>
  <c r="AO15" i="24"/>
  <c r="AN15" i="24"/>
  <c r="AM15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C15" i="24"/>
  <c r="C6" i="23" l="1"/>
  <c r="D6" i="23" s="1"/>
  <c r="D5" i="23" l="1"/>
  <c r="E5" i="23" s="1"/>
  <c r="F5" i="23" s="1"/>
  <c r="G5" i="23" s="1"/>
  <c r="H5" i="23" s="1"/>
  <c r="I5" i="23" s="1"/>
  <c r="J5" i="23" s="1"/>
  <c r="K5" i="23" s="1"/>
  <c r="L5" i="23" s="1"/>
  <c r="M5" i="23" s="1"/>
  <c r="N5" i="23" s="1"/>
  <c r="O5" i="23" s="1"/>
  <c r="P5" i="23" s="1"/>
  <c r="Q5" i="23" s="1"/>
  <c r="R5" i="23" s="1"/>
  <c r="S5" i="23" s="1"/>
  <c r="T5" i="23" s="1"/>
  <c r="U5" i="23" s="1"/>
  <c r="V5" i="23" s="1"/>
  <c r="W5" i="23" s="1"/>
  <c r="X5" i="23" s="1"/>
  <c r="Y5" i="23" s="1"/>
  <c r="Z5" i="23" s="1"/>
  <c r="C7" i="23"/>
  <c r="C6" i="22"/>
  <c r="D6" i="22" s="1"/>
  <c r="D7" i="22" s="1"/>
  <c r="E6" i="23" l="1"/>
  <c r="F6" i="23" s="1"/>
  <c r="G6" i="23" s="1"/>
  <c r="H6" i="23" s="1"/>
  <c r="I6" i="23" s="1"/>
  <c r="J6" i="23" s="1"/>
  <c r="K6" i="23" s="1"/>
  <c r="L6" i="23" s="1"/>
  <c r="M6" i="23" s="1"/>
  <c r="N6" i="23" s="1"/>
  <c r="O6" i="23" s="1"/>
  <c r="P6" i="23" s="1"/>
  <c r="C7" i="22"/>
  <c r="E6" i="22"/>
  <c r="Q6" i="23" l="1"/>
  <c r="R6" i="23" s="1"/>
  <c r="S6" i="23" s="1"/>
  <c r="T6" i="23" s="1"/>
  <c r="U6" i="23" s="1"/>
  <c r="V6" i="23" s="1"/>
  <c r="W6" i="23" s="1"/>
  <c r="D7" i="23"/>
  <c r="E7" i="23"/>
  <c r="F7" i="23"/>
  <c r="F6" i="22"/>
  <c r="E7" i="22"/>
  <c r="X6" i="23" l="1"/>
  <c r="W7" i="23"/>
  <c r="G7" i="23"/>
  <c r="F7" i="22"/>
  <c r="G6" i="22"/>
  <c r="X7" i="23" l="1"/>
  <c r="Y6" i="23"/>
  <c r="H7" i="23"/>
  <c r="H6" i="22"/>
  <c r="G7" i="22"/>
  <c r="Y7" i="23" l="1"/>
  <c r="Z6" i="23"/>
  <c r="Z7" i="23" s="1"/>
  <c r="I7" i="23"/>
  <c r="I6" i="22"/>
  <c r="H7" i="22"/>
  <c r="J7" i="23" l="1"/>
  <c r="J6" i="22"/>
  <c r="I7" i="22"/>
  <c r="K7" i="23" l="1"/>
  <c r="J7" i="22"/>
  <c r="K6" i="22"/>
  <c r="L7" i="23" l="1"/>
  <c r="L6" i="22"/>
  <c r="K7" i="22"/>
  <c r="M7" i="23" l="1"/>
  <c r="M6" i="22"/>
  <c r="L7" i="22"/>
  <c r="N7" i="23" l="1"/>
  <c r="N6" i="22"/>
  <c r="M7" i="22"/>
  <c r="O7" i="23" l="1"/>
  <c r="N7" i="22"/>
  <c r="O6" i="22"/>
  <c r="P7" i="23" l="1"/>
  <c r="P6" i="22"/>
  <c r="O7" i="22"/>
  <c r="Q7" i="23" l="1"/>
  <c r="Q6" i="22"/>
  <c r="P7" i="22"/>
  <c r="R7" i="23" l="1"/>
  <c r="R6" i="22"/>
  <c r="Q7" i="22"/>
  <c r="S7" i="23" l="1"/>
  <c r="R7" i="22"/>
  <c r="S6" i="22"/>
  <c r="T7" i="23" l="1"/>
  <c r="T6" i="22"/>
  <c r="S7" i="22"/>
  <c r="V7" i="23" l="1"/>
  <c r="U7" i="23"/>
  <c r="U6" i="22"/>
  <c r="T7" i="22"/>
  <c r="V6" i="22" l="1"/>
  <c r="V7" i="22" s="1"/>
  <c r="U7" i="22"/>
  <c r="Q15" i="16"/>
  <c r="L15" i="16"/>
  <c r="AK15" i="16"/>
  <c r="AM15" i="16"/>
  <c r="AO15" i="16"/>
  <c r="Y15" i="16"/>
  <c r="AR15" i="16"/>
  <c r="AG15" i="16"/>
  <c r="BA15" i="16"/>
  <c r="N15" i="16"/>
  <c r="AX15" i="16"/>
  <c r="AI15" i="16"/>
  <c r="AW15" i="16"/>
  <c r="R15" i="16"/>
  <c r="AP15" i="16"/>
  <c r="C15" i="16"/>
  <c r="AU15" i="16"/>
  <c r="D15" i="16"/>
  <c r="AS15" i="16"/>
  <c r="W15" i="16"/>
  <c r="BB15" i="16"/>
  <c r="S15" i="16"/>
  <c r="U15" i="16"/>
  <c r="AV15" i="16"/>
  <c r="V15" i="16"/>
  <c r="AC15" i="16"/>
  <c r="AQ15" i="16"/>
  <c r="AE15" i="16"/>
  <c r="AJ15" i="16"/>
  <c r="AH15" i="16"/>
  <c r="O15" i="16"/>
  <c r="M15" i="16"/>
  <c r="AN15" i="16"/>
  <c r="AA15" i="16"/>
  <c r="J15" i="16"/>
  <c r="H15" i="16"/>
  <c r="K15" i="16"/>
  <c r="AL15" i="16"/>
  <c r="AT15" i="16"/>
  <c r="G15" i="16"/>
  <c r="AB15" i="16"/>
  <c r="F15" i="16"/>
  <c r="AZ15" i="16"/>
  <c r="T15" i="16"/>
  <c r="Z15" i="16"/>
  <c r="E15" i="16"/>
  <c r="AD15" i="16"/>
  <c r="P15" i="16"/>
  <c r="AF15" i="16"/>
  <c r="I15" i="16"/>
  <c r="X15" i="16"/>
  <c r="AY15" i="16"/>
</calcChain>
</file>

<file path=xl/sharedStrings.xml><?xml version="1.0" encoding="utf-8"?>
<sst xmlns="http://schemas.openxmlformats.org/spreadsheetml/2006/main" count="147" uniqueCount="79">
  <si>
    <t>Quality Assurance Plan</t>
  </si>
  <si>
    <t>Project Plan</t>
  </si>
  <si>
    <t>Plan Review</t>
  </si>
  <si>
    <t>Draft Requrements</t>
  </si>
  <si>
    <t>Capacity Planning</t>
  </si>
  <si>
    <t>Project Test Plan</t>
  </si>
  <si>
    <t>Acceptance Test Plan</t>
  </si>
  <si>
    <t>Final Requirements Specifications</t>
  </si>
  <si>
    <t>Phase Review and Approval</t>
  </si>
  <si>
    <t>Draft Design Specifications</t>
  </si>
  <si>
    <t>Configuration Management Plan</t>
  </si>
  <si>
    <t>Architectue Design Plan</t>
  </si>
  <si>
    <t>Define Interface Requirements</t>
  </si>
  <si>
    <t>Shared Component Design</t>
  </si>
  <si>
    <t>Integration Test Plan</t>
  </si>
  <si>
    <t>Define Project Guidelines</t>
  </si>
  <si>
    <t>Final Design Specifications</t>
  </si>
  <si>
    <t>Milestone: additional funds</t>
  </si>
  <si>
    <t>Week</t>
  </si>
  <si>
    <t>Notes</t>
  </si>
  <si>
    <t>Project Schedule</t>
  </si>
  <si>
    <t>Start Week</t>
  </si>
  <si>
    <t>Phase</t>
  </si>
  <si>
    <t>One</t>
  </si>
  <si>
    <t>Two</t>
  </si>
  <si>
    <t>Three</t>
  </si>
  <si>
    <t>© 2014 Vertex42 LLC</t>
  </si>
  <si>
    <t>Project Schedule Template</t>
  </si>
  <si>
    <t>← Enter the project start date</t>
  </si>
  <si>
    <t>Month</t>
  </si>
  <si>
    <t>Starting</t>
  </si>
  <si>
    <t>Start Date</t>
  </si>
  <si>
    <t>P
R
O
J
E
C
T
E
N
D</t>
  </si>
  <si>
    <t>Project Title</t>
  </si>
  <si>
    <t>GHJGGHJJ
RSERGGD</t>
  </si>
  <si>
    <t>Lighting</t>
  </si>
  <si>
    <t>Construction</t>
  </si>
  <si>
    <t>Pitch</t>
  </si>
  <si>
    <t>Windsor Park</t>
  </si>
  <si>
    <t>Belfast</t>
  </si>
  <si>
    <t>Power</t>
  </si>
  <si>
    <t>Others</t>
  </si>
  <si>
    <t>ffff gfyhjghfjygf vfgjjgfgjf jgfjghfj vfgghg
asdsad 234 234</t>
  </si>
  <si>
    <t>International Illuminance Services</t>
  </si>
  <si>
    <t>Report by: David Hurley</t>
  </si>
  <si>
    <t>hjhjk</t>
  </si>
  <si>
    <t>End Sub</t>
  </si>
  <si>
    <t xml:space="preserve">    </t>
  </si>
  <si>
    <t>Private Sub mHostSheet_gotFocus(ByVal Wn As Window)</t>
  </si>
  <si>
    <t xml:space="preserve">    Class_Initialize</t>
  </si>
  <si>
    <t>Private Sub mHostSheet_lostFocus(Cancel As Boolean)</t>
  </si>
  <si>
    <t xml:space="preserve">    Set mWinTimer = Nothing</t>
  </si>
  <si>
    <t xml:space="preserve">    mHostSheet.ws = Nothing</t>
  </si>
  <si>
    <t xml:space="preserve">  _In_opt_  HWND hwnd,</t>
  </si>
  <si>
    <t xml:space="preserve">  _In_      UINT_PTR nIDEvent,</t>
  </si>
  <si>
    <t xml:space="preserve">  _In_      UINT uElapse,</t>
  </si>
  <si>
    <t xml:space="preserve">  _In_opt_  TIMERPROC lpTimerFunc,</t>
  </si>
  <si>
    <t>);</t>
  </si>
  <si>
    <t>hwnd</t>
  </si>
  <si>
    <t>nIDEvent</t>
  </si>
  <si>
    <t>UINT_PTR WINAPI SetTimer(</t>
  </si>
  <si>
    <t>Return</t>
  </si>
  <si>
    <t>Action</t>
  </si>
  <si>
    <t>BOOL WINAPI KillTimer(</t>
  </si>
  <si>
    <t xml:space="preserve">  _In_opt_  HWND hWnd,</t>
  </si>
  <si>
    <t xml:space="preserve">  _In_      UINT_PTR uIDEvent</t>
  </si>
  <si>
    <t>new timer IDEvent</t>
  </si>
  <si>
    <t>nIDEvent is ignored, system-created IDEvent is created</t>
  </si>
  <si>
    <t>existing timer is replaced and reset</t>
  </si>
  <si>
    <t>?</t>
  </si>
  <si>
    <t>user specified IDEvent</t>
  </si>
  <si>
    <t>New</t>
  </si>
  <si>
    <t>Existing</t>
  </si>
  <si>
    <t>X</t>
  </si>
  <si>
    <t>Null</t>
  </si>
  <si>
    <t>Not Null</t>
  </si>
  <si>
    <t>Creat Timer to poll</t>
  </si>
  <si>
    <t>Create timer to be called back</t>
  </si>
  <si>
    <t>Replace timer to be called 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</si>
</sst>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m"/>
    <numFmt numFmtId="165" formatCode="d"/>
    <numFmt numFmtId="166" formatCode="\'yy"/>
    <numFmt numFmtId="167" formatCode="[$-409]mmm\ d\,\ yyyy;@"/>
    <numFmt numFmtId="168" formatCode="dd/mm/yyyy;&quot;&quot;;&quot;&quot;"/>
  </numFmts>
  <fonts count="28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sz val="18"/>
      <name val="Arial"/>
      <family val="2"/>
    </font>
    <font>
      <b/>
      <sz val="11"/>
      <color theme="0"/>
      <name val="Arial"/>
      <family val="2"/>
    </font>
    <font>
      <b/>
      <sz val="10"/>
      <color theme="4"/>
      <name val="Arial"/>
      <family val="2"/>
    </font>
    <font>
      <sz val="11"/>
      <color theme="1"/>
      <name val="Arial"/>
      <family val="2"/>
    </font>
    <font>
      <sz val="20"/>
      <color indexed="56"/>
      <name val="Arial"/>
      <family val="2"/>
    </font>
    <font>
      <b/>
      <sz val="11"/>
      <name val="Arial"/>
      <family val="2"/>
    </font>
    <font>
      <b/>
      <sz val="11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b/>
      <sz val="11"/>
      <color theme="1"/>
      <name val="Arial"/>
      <family val="2"/>
    </font>
    <font>
      <b/>
      <sz val="9"/>
      <color theme="0"/>
      <name val="Arial"/>
      <family val="2"/>
    </font>
    <font>
      <sz val="20"/>
      <color theme="1" tint="0.249977111117893"/>
      <name val="Arial"/>
      <family val="2"/>
    </font>
    <font>
      <sz val="10"/>
      <color theme="4" tint="-0.249977111117893"/>
      <name val="Trebuchet MS"/>
      <family val="2"/>
    </font>
    <font>
      <sz val="11"/>
      <color theme="4" tint="-0.249977111117893"/>
      <name val="Trebuchet MS"/>
      <family val="2"/>
    </font>
    <font>
      <b/>
      <sz val="10"/>
      <name val="Arial"/>
      <family val="2"/>
    </font>
    <font>
      <sz val="10"/>
      <color theme="4" tint="-0.249977111117893"/>
      <name val="Arial"/>
      <family val="2"/>
    </font>
    <font>
      <sz val="16"/>
      <color indexed="56"/>
      <name val="Arial"/>
      <family val="2"/>
    </font>
    <font>
      <sz val="18"/>
      <color theme="1" tint="0.34998626667073579"/>
      <name val="Arial"/>
      <family val="2"/>
    </font>
    <font>
      <sz val="10"/>
      <name val="Century Gothic"/>
      <family val="2"/>
    </font>
    <font>
      <b/>
      <u/>
      <sz val="20"/>
      <color theme="1" tint="0.249977111117893"/>
      <name val="Arial"/>
      <family val="2"/>
    </font>
    <font>
      <sz val="10"/>
      <name val="Arial Unicode MS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47">
    <border>
      <left/>
      <right/>
      <top/>
      <bottom/>
      <diagonal/>
    </border>
    <border>
      <left style="medium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theme="0" tint="-0.499984740745262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 style="medium">
        <color theme="0" tint="-0.499984740745262"/>
      </right>
      <top style="medium">
        <color theme="4"/>
      </top>
      <bottom style="thin">
        <color theme="0" tint="-0.24994659260841701"/>
      </bottom>
      <diagonal/>
    </border>
    <border>
      <left style="thin">
        <color theme="0" tint="-0.34998626667073579"/>
      </left>
      <right style="medium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medium">
        <color theme="0" tint="-0.499984740745262"/>
      </right>
      <top style="thin">
        <color theme="0" tint="-0.24994659260841701"/>
      </top>
      <bottom style="medium">
        <color theme="0" tint="-0.499984740745262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4"/>
      </top>
      <bottom/>
      <diagonal/>
    </border>
    <border>
      <left style="medium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medium">
        <color theme="4"/>
      </right>
      <top/>
      <bottom/>
      <diagonal/>
    </border>
    <border>
      <left style="medium">
        <color theme="4"/>
      </left>
      <right style="thin">
        <color theme="4"/>
      </right>
      <top/>
      <bottom style="medium">
        <color theme="4"/>
      </bottom>
      <diagonal/>
    </border>
    <border>
      <left style="thin">
        <color theme="4"/>
      </left>
      <right style="medium">
        <color theme="4"/>
      </right>
      <top style="medium">
        <color theme="4"/>
      </top>
      <bottom/>
      <diagonal/>
    </border>
    <border>
      <left style="thin">
        <color theme="4"/>
      </left>
      <right style="medium">
        <color theme="4"/>
      </right>
      <top/>
      <bottom style="medium">
        <color theme="4"/>
      </bottom>
      <diagonal/>
    </border>
    <border>
      <left style="thin">
        <color theme="0" tint="-0.34998626667073579"/>
      </left>
      <right style="medium">
        <color theme="0" tint="-0.499984740745262"/>
      </right>
      <top/>
      <bottom style="thin">
        <color theme="0" tint="-0.24994659260841701"/>
      </bottom>
      <diagonal/>
    </border>
    <border>
      <left/>
      <right style="thin">
        <color theme="4"/>
      </right>
      <top/>
      <bottom style="medium">
        <color theme="4"/>
      </bottom>
      <diagonal/>
    </border>
    <border>
      <left style="medium">
        <color theme="4"/>
      </left>
      <right style="thin">
        <color theme="4"/>
      </right>
      <top style="thin">
        <color theme="4"/>
      </top>
      <bottom/>
      <diagonal/>
    </border>
    <border>
      <left/>
      <right style="thin">
        <color theme="0" tint="-0.34998626667073579"/>
      </right>
      <top style="medium">
        <color theme="4"/>
      </top>
      <bottom/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5" fillId="11" borderId="0" applyNumberFormat="0" applyBorder="0" applyAlignment="0" applyProtection="0"/>
  </cellStyleXfs>
  <cellXfs count="160">
    <xf numFmtId="0" fontId="0" fillId="0" borderId="0" xfId="0"/>
    <xf numFmtId="0" fontId="6" fillId="5" borderId="0" xfId="0" applyFont="1" applyFill="1"/>
    <xf numFmtId="0" fontId="6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 textRotation="90"/>
    </xf>
    <xf numFmtId="0" fontId="11" fillId="0" borderId="0" xfId="0" applyFont="1"/>
    <xf numFmtId="0" fontId="3" fillId="0" borderId="0" xfId="0" applyFont="1" applyBorder="1" applyAlignment="1">
      <alignment horizontal="right"/>
    </xf>
    <xf numFmtId="0" fontId="5" fillId="5" borderId="3" xfId="0" applyFont="1" applyFill="1" applyBorder="1"/>
    <xf numFmtId="0" fontId="5" fillId="5" borderId="4" xfId="0" applyFont="1" applyFill="1" applyBorder="1" applyAlignment="1"/>
    <xf numFmtId="0" fontId="5" fillId="5" borderId="4" xfId="0" applyFont="1" applyFill="1" applyBorder="1"/>
    <xf numFmtId="0" fontId="5" fillId="3" borderId="4" xfId="0" applyFont="1" applyFill="1" applyBorder="1" applyAlignment="1"/>
    <xf numFmtId="0" fontId="5" fillId="9" borderId="4" xfId="0" applyFont="1" applyFill="1" applyBorder="1" applyAlignment="1" applyProtection="1">
      <alignment vertical="center"/>
      <protection locked="0"/>
    </xf>
    <xf numFmtId="0" fontId="5" fillId="3" borderId="4" xfId="0" applyFont="1" applyFill="1" applyBorder="1"/>
    <xf numFmtId="0" fontId="5" fillId="9" borderId="4" xfId="0" applyFont="1" applyFill="1" applyBorder="1" applyAlignment="1"/>
    <xf numFmtId="0" fontId="5" fillId="3" borderId="5" xfId="0" applyFont="1" applyFill="1" applyBorder="1"/>
    <xf numFmtId="0" fontId="5" fillId="5" borderId="5" xfId="0" applyFont="1" applyFill="1" applyBorder="1"/>
    <xf numFmtId="0" fontId="5" fillId="6" borderId="4" xfId="0" applyFont="1" applyFill="1" applyBorder="1"/>
    <xf numFmtId="0" fontId="5" fillId="5" borderId="9" xfId="0" applyFont="1" applyFill="1" applyBorder="1"/>
    <xf numFmtId="0" fontId="5" fillId="5" borderId="10" xfId="0" applyFont="1" applyFill="1" applyBorder="1"/>
    <xf numFmtId="0" fontId="5" fillId="5" borderId="11" xfId="0" applyFont="1" applyFill="1" applyBorder="1"/>
    <xf numFmtId="0" fontId="5" fillId="3" borderId="3" xfId="0" applyFont="1" applyFill="1" applyBorder="1" applyAlignment="1"/>
    <xf numFmtId="0" fontId="5" fillId="3" borderId="3" xfId="0" applyFont="1" applyFill="1" applyBorder="1"/>
    <xf numFmtId="0" fontId="12" fillId="5" borderId="0" xfId="0" applyFont="1" applyFill="1" applyAlignment="1" applyProtection="1">
      <alignment vertical="center"/>
    </xf>
    <xf numFmtId="0" fontId="15" fillId="6" borderId="2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/>
    <xf numFmtId="0" fontId="5" fillId="2" borderId="4" xfId="0" applyFont="1" applyFill="1" applyBorder="1"/>
    <xf numFmtId="0" fontId="15" fillId="6" borderId="12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7" fillId="7" borderId="13" xfId="0" applyFont="1" applyFill="1" applyBorder="1" applyAlignment="1">
      <alignment horizontal="right" vertical="center" indent="1"/>
    </xf>
    <xf numFmtId="0" fontId="10" fillId="0" borderId="0" xfId="0" applyFont="1" applyAlignment="1">
      <alignment vertical="top"/>
    </xf>
    <xf numFmtId="0" fontId="13" fillId="5" borderId="0" xfId="0" applyFont="1" applyFill="1" applyBorder="1" applyProtection="1"/>
    <xf numFmtId="0" fontId="9" fillId="7" borderId="13" xfId="0" applyFont="1" applyFill="1" applyBorder="1" applyAlignment="1">
      <alignment horizontal="right" vertical="center" indent="1"/>
    </xf>
    <xf numFmtId="0" fontId="10" fillId="0" borderId="0" xfId="0" applyFont="1" applyAlignment="1"/>
    <xf numFmtId="0" fontId="18" fillId="5" borderId="0" xfId="0" applyFont="1" applyFill="1" applyBorder="1" applyAlignment="1" applyProtection="1">
      <alignment horizontal="right" vertical="center"/>
    </xf>
    <xf numFmtId="0" fontId="5" fillId="8" borderId="6" xfId="0" applyFont="1" applyFill="1" applyBorder="1" applyAlignment="1"/>
    <xf numFmtId="0" fontId="5" fillId="8" borderId="0" xfId="0" applyFont="1" applyFill="1" applyBorder="1" applyAlignment="1"/>
    <xf numFmtId="0" fontId="5" fillId="8" borderId="8" xfId="0" applyFont="1" applyFill="1" applyBorder="1" applyAlignment="1"/>
    <xf numFmtId="0" fontId="1" fillId="0" borderId="17" xfId="0" applyFont="1" applyBorder="1"/>
    <xf numFmtId="0" fontId="0" fillId="0" borderId="17" xfId="0" applyBorder="1"/>
    <xf numFmtId="0" fontId="1" fillId="0" borderId="0" xfId="0" applyFont="1"/>
    <xf numFmtId="0" fontId="2" fillId="0" borderId="0" xfId="1" applyBorder="1" applyAlignment="1" applyProtection="1"/>
    <xf numFmtId="0" fontId="3" fillId="0" borderId="0" xfId="0" applyFont="1" applyAlignment="1">
      <alignment horizontal="left" vertical="center"/>
    </xf>
    <xf numFmtId="0" fontId="19" fillId="0" borderId="0" xfId="0" applyFont="1" applyBorder="1" applyProtection="1"/>
    <xf numFmtId="0" fontId="20" fillId="0" borderId="0" xfId="0" applyFont="1" applyBorder="1" applyProtection="1"/>
    <xf numFmtId="0" fontId="2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5" fillId="6" borderId="18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 wrapText="1"/>
    </xf>
    <xf numFmtId="0" fontId="9" fillId="7" borderId="20" xfId="0" applyFont="1" applyFill="1" applyBorder="1" applyAlignment="1">
      <alignment horizontal="center" vertical="center" wrapText="1"/>
    </xf>
    <xf numFmtId="0" fontId="9" fillId="4" borderId="20" xfId="0" applyFont="1" applyFill="1" applyBorder="1" applyAlignment="1">
      <alignment horizontal="center" vertical="center" wrapText="1"/>
    </xf>
    <xf numFmtId="0" fontId="9" fillId="7" borderId="20" xfId="0" applyFont="1" applyFill="1" applyBorder="1" applyAlignment="1">
      <alignment vertical="center" wrapText="1"/>
    </xf>
    <xf numFmtId="0" fontId="9" fillId="7" borderId="21" xfId="0" applyFont="1" applyFill="1" applyBorder="1" applyAlignment="1">
      <alignment vertical="center" wrapText="1"/>
    </xf>
    <xf numFmtId="0" fontId="5" fillId="5" borderId="4" xfId="0" applyFont="1" applyFill="1" applyBorder="1" applyAlignment="1" applyProtection="1">
      <alignment vertical="center"/>
      <protection locked="0"/>
    </xf>
    <xf numFmtId="0" fontId="14" fillId="6" borderId="26" xfId="0" applyFont="1" applyFill="1" applyBorder="1" applyAlignment="1">
      <alignment vertical="center"/>
    </xf>
    <xf numFmtId="0" fontId="14" fillId="6" borderId="25" xfId="0" applyFont="1" applyFill="1" applyBorder="1" applyAlignment="1">
      <alignment horizontal="center" vertical="center"/>
    </xf>
    <xf numFmtId="164" fontId="22" fillId="6" borderId="22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 applyProtection="1">
      <alignment vertical="center"/>
      <protection locked="0"/>
    </xf>
    <xf numFmtId="0" fontId="5" fillId="3" borderId="8" xfId="0" applyFont="1" applyFill="1" applyBorder="1" applyAlignment="1"/>
    <xf numFmtId="0" fontId="5" fillId="5" borderId="8" xfId="0" applyFont="1" applyFill="1" applyBorder="1" applyAlignment="1"/>
    <xf numFmtId="0" fontId="5" fillId="5" borderId="27" xfId="0" applyFont="1" applyFill="1" applyBorder="1"/>
    <xf numFmtId="165" fontId="22" fillId="6" borderId="28" xfId="0" applyNumberFormat="1" applyFont="1" applyFill="1" applyBorder="1" applyAlignment="1">
      <alignment horizontal="center" vertical="center"/>
    </xf>
    <xf numFmtId="164" fontId="22" fillId="10" borderId="22" xfId="0" applyNumberFormat="1" applyFont="1" applyFill="1" applyBorder="1" applyAlignment="1">
      <alignment horizontal="center" vertical="center"/>
    </xf>
    <xf numFmtId="165" fontId="22" fillId="10" borderId="28" xfId="0" applyNumberFormat="1" applyFont="1" applyFill="1" applyBorder="1" applyAlignment="1">
      <alignment horizontal="center" vertical="center"/>
    </xf>
    <xf numFmtId="0" fontId="15" fillId="10" borderId="12" xfId="0" applyFont="1" applyFill="1" applyBorder="1" applyAlignment="1">
      <alignment horizontal="center" vertical="center"/>
    </xf>
    <xf numFmtId="0" fontId="10" fillId="0" borderId="0" xfId="0" applyFont="1" applyAlignment="1">
      <alignment vertical="top" wrapText="1"/>
    </xf>
    <xf numFmtId="0" fontId="3" fillId="0" borderId="0" xfId="0" applyFont="1" applyBorder="1" applyAlignment="1">
      <alignment vertical="top"/>
    </xf>
    <xf numFmtId="0" fontId="14" fillId="6" borderId="23" xfId="0" applyFont="1" applyFill="1" applyBorder="1" applyAlignment="1">
      <alignment horizontal="center" vertical="center"/>
    </xf>
    <xf numFmtId="0" fontId="5" fillId="6" borderId="4" xfId="0" applyFont="1" applyFill="1" applyBorder="1" applyAlignment="1" applyProtection="1">
      <alignment vertical="center"/>
      <protection locked="0"/>
    </xf>
    <xf numFmtId="0" fontId="5" fillId="2" borderId="4" xfId="0" applyFont="1" applyFill="1" applyBorder="1" applyAlignment="1" applyProtection="1">
      <alignment vertical="center"/>
      <protection locked="0"/>
    </xf>
    <xf numFmtId="0" fontId="5" fillId="10" borderId="4" xfId="0" applyFont="1" applyFill="1" applyBorder="1" applyAlignment="1" applyProtection="1">
      <alignment vertical="center"/>
      <protection locked="0"/>
    </xf>
    <xf numFmtId="0" fontId="5" fillId="6" borderId="5" xfId="0" applyFont="1" applyFill="1" applyBorder="1" applyAlignment="1" applyProtection="1">
      <alignment vertical="center"/>
      <protection locked="0"/>
    </xf>
    <xf numFmtId="0" fontId="5" fillId="10" borderId="3" xfId="0" applyFont="1" applyFill="1" applyBorder="1" applyAlignment="1" applyProtection="1">
      <alignment vertical="center"/>
      <protection locked="0"/>
    </xf>
    <xf numFmtId="0" fontId="5" fillId="10" borderId="3" xfId="0" applyFont="1" applyFill="1" applyBorder="1" applyAlignment="1"/>
    <xf numFmtId="0" fontId="5" fillId="10" borderId="4" xfId="0" applyFont="1" applyFill="1" applyBorder="1" applyAlignment="1"/>
    <xf numFmtId="164" fontId="22" fillId="6" borderId="22" xfId="0" applyNumberFormat="1" applyFont="1" applyFill="1" applyBorder="1" applyAlignment="1">
      <alignment horizontal="center" vertical="center" shrinkToFit="1"/>
    </xf>
    <xf numFmtId="164" fontId="22" fillId="10" borderId="22" xfId="0" applyNumberFormat="1" applyFont="1" applyFill="1" applyBorder="1" applyAlignment="1">
      <alignment horizontal="center" vertical="center" shrinkToFit="1"/>
    </xf>
    <xf numFmtId="166" fontId="22" fillId="6" borderId="28" xfId="0" applyNumberFormat="1" applyFont="1" applyFill="1" applyBorder="1" applyAlignment="1">
      <alignment horizontal="center" vertical="center" shrinkToFit="1"/>
    </xf>
    <xf numFmtId="166" fontId="22" fillId="10" borderId="28" xfId="0" applyNumberFormat="1" applyFont="1" applyFill="1" applyBorder="1" applyAlignment="1">
      <alignment horizontal="center" vertical="center" shrinkToFit="1"/>
    </xf>
    <xf numFmtId="164" fontId="6" fillId="5" borderId="0" xfId="0" applyNumberFormat="1" applyFont="1" applyFill="1"/>
    <xf numFmtId="0" fontId="6" fillId="5" borderId="0" xfId="0" applyNumberFormat="1" applyFont="1" applyFill="1"/>
    <xf numFmtId="166" fontId="6" fillId="5" borderId="0" xfId="0" applyNumberFormat="1" applyFont="1" applyFill="1"/>
    <xf numFmtId="0" fontId="5" fillId="5" borderId="39" xfId="0" applyFont="1" applyFill="1" applyBorder="1" applyAlignment="1">
      <alignment wrapText="1"/>
    </xf>
    <xf numFmtId="0" fontId="5" fillId="12" borderId="39" xfId="0" applyFont="1" applyFill="1" applyBorder="1" applyAlignment="1">
      <alignment wrapText="1"/>
    </xf>
    <xf numFmtId="0" fontId="23" fillId="5" borderId="0" xfId="0" applyFont="1" applyFill="1" applyAlignment="1" applyProtection="1">
      <alignment vertical="center"/>
    </xf>
    <xf numFmtId="0" fontId="5" fillId="5" borderId="39" xfId="0" applyFont="1" applyFill="1" applyBorder="1" applyAlignment="1" applyProtection="1">
      <alignment vertical="center"/>
      <protection locked="0"/>
    </xf>
    <xf numFmtId="0" fontId="5" fillId="3" borderId="39" xfId="0" applyFont="1" applyFill="1" applyBorder="1" applyAlignment="1"/>
    <xf numFmtId="0" fontId="5" fillId="5" borderId="39" xfId="0" applyFont="1" applyFill="1" applyBorder="1" applyAlignment="1"/>
    <xf numFmtId="0" fontId="5" fillId="0" borderId="39" xfId="0" applyFont="1" applyFill="1" applyBorder="1" applyAlignment="1"/>
    <xf numFmtId="0" fontId="5" fillId="5" borderId="40" xfId="0" applyFont="1" applyFill="1" applyBorder="1"/>
    <xf numFmtId="0" fontId="5" fillId="5" borderId="41" xfId="0" applyFont="1" applyFill="1" applyBorder="1"/>
    <xf numFmtId="0" fontId="5" fillId="3" borderId="37" xfId="0" applyFont="1" applyFill="1" applyBorder="1"/>
    <xf numFmtId="0" fontId="5" fillId="5" borderId="37" xfId="0" applyFont="1" applyFill="1" applyBorder="1"/>
    <xf numFmtId="0" fontId="5" fillId="0" borderId="37" xfId="0" applyFont="1" applyFill="1" applyBorder="1"/>
    <xf numFmtId="0" fontId="5" fillId="3" borderId="38" xfId="0" applyFont="1" applyFill="1" applyBorder="1"/>
    <xf numFmtId="0" fontId="5" fillId="5" borderId="42" xfId="0" applyFont="1" applyFill="1" applyBorder="1"/>
    <xf numFmtId="0" fontId="5" fillId="3" borderId="39" xfId="0" applyFont="1" applyFill="1" applyBorder="1"/>
    <xf numFmtId="0" fontId="5" fillId="5" borderId="39" xfId="0" applyFont="1" applyFill="1" applyBorder="1"/>
    <xf numFmtId="0" fontId="5" fillId="0" borderId="39" xfId="0" applyFont="1" applyFill="1" applyBorder="1"/>
    <xf numFmtId="0" fontId="5" fillId="3" borderId="43" xfId="0" applyFont="1" applyFill="1" applyBorder="1"/>
    <xf numFmtId="0" fontId="5" fillId="5" borderId="42" xfId="0" applyFont="1" applyFill="1" applyBorder="1" applyAlignment="1"/>
    <xf numFmtId="0" fontId="5" fillId="3" borderId="43" xfId="0" applyFont="1" applyFill="1" applyBorder="1" applyAlignment="1"/>
    <xf numFmtId="0" fontId="13" fillId="11" borderId="34" xfId="0" applyFont="1" applyFill="1" applyBorder="1" applyAlignment="1">
      <alignment horizontal="center" vertical="center" wrapText="1"/>
    </xf>
    <xf numFmtId="0" fontId="13" fillId="15" borderId="36" xfId="0" applyFont="1" applyFill="1" applyBorder="1" applyAlignment="1">
      <alignment horizontal="center" vertical="center" wrapText="1"/>
    </xf>
    <xf numFmtId="0" fontId="13" fillId="13" borderId="36" xfId="0" applyFont="1" applyFill="1" applyBorder="1" applyAlignment="1">
      <alignment horizontal="center" vertical="center" wrapText="1"/>
    </xf>
    <xf numFmtId="0" fontId="13" fillId="14" borderId="36" xfId="0" applyFont="1" applyFill="1" applyBorder="1" applyAlignment="1">
      <alignment horizontal="center" vertical="center" wrapText="1"/>
    </xf>
    <xf numFmtId="0" fontId="5" fillId="5" borderId="34" xfId="0" applyFont="1" applyFill="1" applyBorder="1"/>
    <xf numFmtId="0" fontId="5" fillId="5" borderId="45" xfId="0" applyFont="1" applyFill="1" applyBorder="1"/>
    <xf numFmtId="0" fontId="5" fillId="3" borderId="44" xfId="0" applyFont="1" applyFill="1" applyBorder="1"/>
    <xf numFmtId="0" fontId="5" fillId="5" borderId="44" xfId="0" applyFont="1" applyFill="1" applyBorder="1"/>
    <xf numFmtId="0" fontId="5" fillId="0" borderId="44" xfId="0" applyFont="1" applyFill="1" applyBorder="1"/>
    <xf numFmtId="0" fontId="5" fillId="3" borderId="46" xfId="0" applyFont="1" applyFill="1" applyBorder="1"/>
    <xf numFmtId="0" fontId="5" fillId="5" borderId="33" xfId="0" applyFont="1" applyFill="1" applyBorder="1"/>
    <xf numFmtId="0" fontId="6" fillId="3" borderId="0" xfId="0" applyFont="1" applyFill="1" applyAlignment="1">
      <alignment horizontal="center"/>
    </xf>
    <xf numFmtId="0" fontId="13" fillId="16" borderId="35" xfId="0" applyFont="1" applyFill="1" applyBorder="1" applyAlignment="1">
      <alignment horizontal="center" vertical="center" wrapText="1"/>
    </xf>
    <xf numFmtId="0" fontId="13" fillId="9" borderId="34" xfId="0" applyFont="1" applyFill="1" applyBorder="1" applyAlignment="1">
      <alignment horizontal="center" vertical="center"/>
    </xf>
    <xf numFmtId="0" fontId="21" fillId="9" borderId="34" xfId="0" applyFont="1" applyFill="1" applyBorder="1" applyAlignment="1">
      <alignment horizontal="center" vertical="center"/>
    </xf>
    <xf numFmtId="0" fontId="13" fillId="3" borderId="33" xfId="0" applyFont="1" applyFill="1" applyBorder="1" applyAlignment="1">
      <alignment horizontal="center" vertical="center"/>
    </xf>
    <xf numFmtId="0" fontId="21" fillId="3" borderId="33" xfId="0" applyFont="1" applyFill="1" applyBorder="1" applyAlignment="1">
      <alignment horizontal="center" vertical="center"/>
    </xf>
    <xf numFmtId="0" fontId="15" fillId="2" borderId="34" xfId="0" applyFont="1" applyFill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167" fontId="16" fillId="5" borderId="0" xfId="0" applyNumberFormat="1" applyFont="1" applyFill="1" applyBorder="1" applyAlignment="1">
      <alignment vertical="center"/>
    </xf>
    <xf numFmtId="0" fontId="21" fillId="4" borderId="34" xfId="0" applyFont="1" applyFill="1" applyBorder="1" applyAlignment="1">
      <alignment horizontal="center" vertical="center"/>
    </xf>
    <xf numFmtId="0" fontId="6" fillId="5" borderId="0" xfId="0" applyFont="1" applyFill="1" applyBorder="1"/>
    <xf numFmtId="0" fontId="24" fillId="5" borderId="0" xfId="0" applyFont="1" applyFill="1" applyBorder="1"/>
    <xf numFmtId="0" fontId="26" fillId="5" borderId="0" xfId="0" applyFont="1" applyFill="1" applyBorder="1" applyAlignment="1">
      <alignment horizontal="center" vertical="center"/>
    </xf>
    <xf numFmtId="0" fontId="12" fillId="5" borderId="0" xfId="0" applyFont="1" applyFill="1" applyBorder="1" applyAlignment="1" applyProtection="1">
      <alignment vertical="center"/>
    </xf>
    <xf numFmtId="0" fontId="8" fillId="5" borderId="0" xfId="0" applyFont="1" applyFill="1" applyBorder="1"/>
    <xf numFmtId="0" fontId="23" fillId="5" borderId="0" xfId="0" applyFont="1" applyFill="1" applyBorder="1" applyAlignment="1" applyProtection="1">
      <alignment vertical="center"/>
    </xf>
    <xf numFmtId="168" fontId="19" fillId="0" borderId="0" xfId="0" applyNumberFormat="1" applyFont="1" applyBorder="1" applyProtection="1"/>
    <xf numFmtId="0" fontId="6" fillId="0" borderId="0" xfId="0" applyFont="1" applyFill="1" applyAlignment="1">
      <alignment horizontal="center"/>
    </xf>
    <xf numFmtId="0" fontId="3" fillId="5" borderId="0" xfId="0" applyFont="1" applyFill="1" applyAlignment="1">
      <alignment shrinkToFit="1"/>
    </xf>
    <xf numFmtId="0" fontId="27" fillId="0" borderId="0" xfId="0" applyFont="1" applyAlignment="1">
      <alignment vertical="center"/>
    </xf>
    <xf numFmtId="0" fontId="14" fillId="6" borderId="34" xfId="0" applyFont="1" applyFill="1" applyBorder="1" applyAlignment="1">
      <alignment horizontal="center" vertical="center"/>
    </xf>
    <xf numFmtId="0" fontId="14" fillId="6" borderId="36" xfId="0" applyFont="1" applyFill="1" applyBorder="1" applyAlignment="1">
      <alignment horizontal="center" vertical="center"/>
    </xf>
    <xf numFmtId="0" fontId="25" fillId="11" borderId="45" xfId="2" applyBorder="1" applyAlignment="1">
      <alignment horizontal="left" vertical="center" wrapText="1"/>
    </xf>
    <xf numFmtId="0" fontId="25" fillId="11" borderId="44" xfId="2" applyBorder="1" applyAlignment="1">
      <alignment horizontal="left" vertical="center"/>
    </xf>
    <xf numFmtId="0" fontId="25" fillId="11" borderId="46" xfId="2" applyBorder="1" applyAlignment="1">
      <alignment horizontal="left" vertical="center"/>
    </xf>
    <xf numFmtId="0" fontId="13" fillId="9" borderId="41" xfId="0" applyFont="1" applyFill="1" applyBorder="1" applyAlignment="1">
      <alignment horizontal="center" vertical="center"/>
    </xf>
    <xf numFmtId="0" fontId="13" fillId="9" borderId="37" xfId="0" applyFont="1" applyFill="1" applyBorder="1" applyAlignment="1">
      <alignment horizontal="center" vertical="center"/>
    </xf>
    <xf numFmtId="0" fontId="13" fillId="9" borderId="38" xfId="0" applyFont="1" applyFill="1" applyBorder="1" applyAlignment="1">
      <alignment horizontal="center" vertical="center"/>
    </xf>
    <xf numFmtId="167" fontId="13" fillId="9" borderId="45" xfId="0" applyNumberFormat="1" applyFont="1" applyFill="1" applyBorder="1" applyAlignment="1">
      <alignment horizontal="center" vertical="center"/>
    </xf>
    <xf numFmtId="167" fontId="13" fillId="9" borderId="44" xfId="0" applyNumberFormat="1" applyFont="1" applyFill="1" applyBorder="1" applyAlignment="1">
      <alignment horizontal="center" vertical="center"/>
    </xf>
    <xf numFmtId="167" fontId="13" fillId="9" borderId="46" xfId="0" applyNumberFormat="1" applyFont="1" applyFill="1" applyBorder="1" applyAlignment="1">
      <alignment horizontal="center" vertical="center"/>
    </xf>
    <xf numFmtId="0" fontId="13" fillId="9" borderId="45" xfId="0" applyFont="1" applyFill="1" applyBorder="1" applyAlignment="1" applyProtection="1">
      <alignment horizontal="center" vertical="center"/>
    </xf>
    <xf numFmtId="0" fontId="13" fillId="9" borderId="44" xfId="0" applyFont="1" applyFill="1" applyBorder="1" applyAlignment="1" applyProtection="1">
      <alignment horizontal="center" vertical="center"/>
    </xf>
    <xf numFmtId="0" fontId="13" fillId="9" borderId="46" xfId="0" applyFont="1" applyFill="1" applyBorder="1" applyAlignment="1" applyProtection="1">
      <alignment horizontal="center" vertical="center"/>
    </xf>
    <xf numFmtId="167" fontId="16" fillId="0" borderId="13" xfId="0" applyNumberFormat="1" applyFont="1" applyBorder="1" applyAlignment="1">
      <alignment horizontal="center" vertical="center"/>
    </xf>
    <xf numFmtId="167" fontId="16" fillId="0" borderId="15" xfId="0" applyNumberFormat="1" applyFont="1" applyBorder="1" applyAlignment="1">
      <alignment horizontal="center" vertical="center"/>
    </xf>
    <xf numFmtId="167" fontId="16" fillId="0" borderId="14" xfId="0" applyNumberFormat="1" applyFont="1" applyBorder="1" applyAlignment="1">
      <alignment horizontal="center" vertical="center"/>
    </xf>
    <xf numFmtId="0" fontId="14" fillId="6" borderId="29" xfId="0" applyFont="1" applyFill="1" applyBorder="1" applyAlignment="1">
      <alignment horizontal="center" vertical="center"/>
    </xf>
    <xf numFmtId="0" fontId="14" fillId="6" borderId="24" xfId="0" applyFont="1" applyFill="1" applyBorder="1" applyAlignment="1">
      <alignment horizontal="center" vertical="center"/>
    </xf>
    <xf numFmtId="0" fontId="17" fillId="8" borderId="7" xfId="0" applyFont="1" applyFill="1" applyBorder="1" applyAlignment="1">
      <alignment horizontal="center" vertical="center" textRotation="90"/>
    </xf>
    <xf numFmtId="0" fontId="17" fillId="8" borderId="0" xfId="0" applyFont="1" applyFill="1" applyBorder="1" applyAlignment="1">
      <alignment horizontal="center" vertical="center" textRotation="90"/>
    </xf>
    <xf numFmtId="0" fontId="17" fillId="8" borderId="16" xfId="0" applyFont="1" applyFill="1" applyBorder="1" applyAlignment="1">
      <alignment horizontal="center" vertical="center" textRotation="90"/>
    </xf>
    <xf numFmtId="0" fontId="9" fillId="9" borderId="30" xfId="0" applyFont="1" applyFill="1" applyBorder="1" applyAlignment="1">
      <alignment horizontal="center" vertical="center" wrapText="1"/>
    </xf>
    <xf numFmtId="0" fontId="9" fillId="9" borderId="31" xfId="0" applyFont="1" applyFill="1" applyBorder="1" applyAlignment="1">
      <alignment horizontal="center" vertical="center"/>
    </xf>
    <xf numFmtId="0" fontId="9" fillId="9" borderId="32" xfId="0" applyFont="1" applyFill="1" applyBorder="1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applyAlignment="1">
      <alignment textRotation="90"/>
    </xf>
  </cellXfs>
  <cellStyles count="3">
    <cellStyle name="Hyperlink" xfId="1" builtinId="8"/>
    <cellStyle name="Neutral" xfId="2" builtinId="28" customBuiltin="1"/>
    <cellStyle name="Normal" xfId="0" builtinId="0"/>
  </cellStyles>
  <dxfs count="1">
    <dxf>
      <fill>
        <patternFill>
          <bgColor theme="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99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ECFF"/>
      <rgbColor rgb="00D6F4D9"/>
      <rgbColor rgb="00FFFFCC"/>
      <rgbColor rgb="0099CCFF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A6A6A6"/>
      <color rgb="FF4F81BD"/>
      <color rgb="FF4F819F"/>
      <color rgb="FFF2F2F2"/>
      <color rgb="FFCCFFCC"/>
      <color rgb="FF99FF9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vertex42.com/ExcelTemplates/project-schedule-template.html" TargetMode="External"/><Relationship Id="rId2" Type="http://schemas.openxmlformats.org/officeDocument/2006/relationships/image" Target="../media/image4.png"/><Relationship Id="rId1" Type="http://schemas.openxmlformats.org/officeDocument/2006/relationships/hyperlink" Target="http://www.vertex42.com/" TargetMode="External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vertex42.com/" TargetMode="External"/><Relationship Id="rId2" Type="http://schemas.openxmlformats.org/officeDocument/2006/relationships/image" Target="../media/image5.png"/><Relationship Id="rId1" Type="http://schemas.openxmlformats.org/officeDocument/2006/relationships/hyperlink" Target="http://www.vertex42.com/ExcelTemplates/project-schedule-template.html" TargetMode="External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31749</xdr:rowOff>
    </xdr:from>
    <xdr:to>
      <xdr:col>2</xdr:col>
      <xdr:colOff>52917</xdr:colOff>
      <xdr:row>1</xdr:row>
      <xdr:rowOff>10582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31749"/>
          <a:ext cx="1301750" cy="1301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3175</xdr:colOff>
      <xdr:row>0</xdr:row>
      <xdr:rowOff>0</xdr:rowOff>
    </xdr:from>
    <xdr:to>
      <xdr:col>8</xdr:col>
      <xdr:colOff>12700</xdr:colOff>
      <xdr:row>12</xdr:row>
      <xdr:rowOff>9525</xdr:rowOff>
    </xdr:to>
    <xdr:pic>
      <xdr:nvPicPr>
        <xdr:cNvPr id="1025" name="colHDR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00" y="0"/>
          <a:ext cx="8743950" cy="426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3175</xdr:colOff>
      <xdr:row>13</xdr:row>
      <xdr:rowOff>0</xdr:rowOff>
    </xdr:from>
    <xdr:to>
      <xdr:col>2</xdr:col>
      <xdr:colOff>12700</xdr:colOff>
      <xdr:row>20</xdr:row>
      <xdr:rowOff>9525</xdr:rowOff>
    </xdr:to>
    <xdr:pic>
      <xdr:nvPicPr>
        <xdr:cNvPr id="1026" name="rowHDR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00" y="4438650"/>
          <a:ext cx="1257300" cy="200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247649</xdr:colOff>
      <xdr:row>0</xdr:row>
      <xdr:rowOff>47625</xdr:rowOff>
    </xdr:from>
    <xdr:to>
      <xdr:col>28</xdr:col>
      <xdr:colOff>1400174</xdr:colOff>
      <xdr:row>0</xdr:row>
      <xdr:rowOff>363398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4949" y="47625"/>
          <a:ext cx="1409700" cy="315773"/>
        </a:xfrm>
        <a:prstGeom prst="rect">
          <a:avLst/>
        </a:prstGeom>
      </xdr:spPr>
    </xdr:pic>
    <xdr:clientData/>
  </xdr:twoCellAnchor>
  <xdr:oneCellAnchor>
    <xdr:from>
      <xdr:col>28</xdr:col>
      <xdr:colOff>38100</xdr:colOff>
      <xdr:row>7</xdr:row>
      <xdr:rowOff>0</xdr:rowOff>
    </xdr:from>
    <xdr:ext cx="2857500" cy="1047750"/>
    <xdr:pic>
      <xdr:nvPicPr>
        <xdr:cNvPr id="3" name="Picture 2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1695450"/>
          <a:ext cx="2857500" cy="1047750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38100</xdr:colOff>
      <xdr:row>6</xdr:row>
      <xdr:rowOff>180975</xdr:rowOff>
    </xdr:from>
    <xdr:ext cx="2857500" cy="1047750"/>
    <xdr:pic>
      <xdr:nvPicPr>
        <xdr:cNvPr id="3" name="Picture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1695450"/>
          <a:ext cx="2857500" cy="1047750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 fPrintsWithSheet="0"/>
  </xdr:oneCellAnchor>
  <xdr:twoCellAnchor editAs="oneCell">
    <xdr:from>
      <xdr:col>23</xdr:col>
      <xdr:colOff>247649</xdr:colOff>
      <xdr:row>0</xdr:row>
      <xdr:rowOff>47625</xdr:rowOff>
    </xdr:from>
    <xdr:to>
      <xdr:col>24</xdr:col>
      <xdr:colOff>1400174</xdr:colOff>
      <xdr:row>0</xdr:row>
      <xdr:rowOff>363398</xdr:rowOff>
    </xdr:to>
    <xdr:pic>
      <xdr:nvPicPr>
        <xdr:cNvPr id="4" name="Picture 3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4949" y="47625"/>
          <a:ext cx="1409700" cy="3157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31749</xdr:rowOff>
    </xdr:from>
    <xdr:to>
      <xdr:col>2</xdr:col>
      <xdr:colOff>52917</xdr:colOff>
      <xdr:row>1</xdr:row>
      <xdr:rowOff>10582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1749"/>
          <a:ext cx="1300692" cy="13028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31749</xdr:rowOff>
    </xdr:from>
    <xdr:to>
      <xdr:col>2</xdr:col>
      <xdr:colOff>52917</xdr:colOff>
      <xdr:row>1</xdr:row>
      <xdr:rowOff>10582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1749"/>
          <a:ext cx="1300692" cy="130280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" name="Rectangle 2"/>
        <xdr:cNvSpPr/>
      </xdr:nvSpPr>
      <xdr:spPr>
        <a:xfrm>
          <a:off x="238125" y="0"/>
          <a:ext cx="8734425" cy="425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5" name="Rectangle 4"/>
        <xdr:cNvSpPr/>
      </xdr:nvSpPr>
      <xdr:spPr>
        <a:xfrm>
          <a:off x="238125" y="4438650"/>
          <a:ext cx="1247775" cy="19907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</xdr:col>
      <xdr:colOff>3175</xdr:colOff>
      <xdr:row>0</xdr:row>
      <xdr:rowOff>0</xdr:rowOff>
    </xdr:from>
    <xdr:to>
      <xdr:col>8</xdr:col>
      <xdr:colOff>12700</xdr:colOff>
      <xdr:row>12</xdr:row>
      <xdr:rowOff>9525</xdr:rowOff>
    </xdr:to>
    <xdr:pic>
      <xdr:nvPicPr>
        <xdr:cNvPr id="5121" name="colHDR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00" y="0"/>
          <a:ext cx="8743950" cy="426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3175</xdr:colOff>
      <xdr:row>13</xdr:row>
      <xdr:rowOff>0</xdr:rowOff>
    </xdr:from>
    <xdr:to>
      <xdr:col>2</xdr:col>
      <xdr:colOff>12700</xdr:colOff>
      <xdr:row>20</xdr:row>
      <xdr:rowOff>9525</xdr:rowOff>
    </xdr:to>
    <xdr:pic>
      <xdr:nvPicPr>
        <xdr:cNvPr id="5122" name="rowHDR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00" y="4438650"/>
          <a:ext cx="1257300" cy="200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vertex42.com/ExcelTemplates/project-schedule-templat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vertex42.com/ExcelTemplates/project-schedule-template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D20"/>
  <sheetViews>
    <sheetView showGridLines="0" zoomScale="90" zoomScaleNormal="90" workbookViewId="0">
      <selection activeCell="K31" sqref="K31"/>
    </sheetView>
  </sheetViews>
  <sheetFormatPr defaultColWidth="3.85546875" defaultRowHeight="14.25" x14ac:dyDescent="0.2"/>
  <cols>
    <col min="1" max="1" width="3.5703125" style="1" customWidth="1"/>
    <col min="2" max="54" width="18.7109375" style="1" customWidth="1"/>
    <col min="55" max="55" width="23.140625" style="1" customWidth="1"/>
    <col min="56" max="16384" width="3.85546875" style="1"/>
  </cols>
  <sheetData>
    <row r="1" spans="1:56" ht="104.25" customHeight="1" x14ac:dyDescent="0.2">
      <c r="B1" s="123"/>
      <c r="C1" s="123"/>
      <c r="D1" s="123"/>
      <c r="E1" s="123"/>
      <c r="F1" s="123"/>
      <c r="G1" s="125" t="s">
        <v>20</v>
      </c>
      <c r="H1" s="123"/>
    </row>
    <row r="2" spans="1:56" ht="33.75" customHeight="1" x14ac:dyDescent="0.35">
      <c r="B2" s="126" t="s">
        <v>38</v>
      </c>
      <c r="C2" s="123"/>
      <c r="D2" s="123"/>
      <c r="E2" s="123"/>
      <c r="F2" s="123"/>
      <c r="G2" s="124"/>
      <c r="H2" s="127"/>
      <c r="BC2" s="33"/>
      <c r="BD2" s="4"/>
    </row>
    <row r="3" spans="1:56" ht="20.25" customHeight="1" x14ac:dyDescent="0.2">
      <c r="B3" s="128" t="s">
        <v>39</v>
      </c>
      <c r="C3" s="123"/>
      <c r="D3" s="123"/>
      <c r="E3" s="123"/>
      <c r="F3" s="123"/>
      <c r="G3" s="123"/>
      <c r="H3" s="123"/>
      <c r="BC3" s="33"/>
      <c r="BD3" s="4"/>
    </row>
    <row r="4" spans="1:56" ht="20.25" customHeight="1" x14ac:dyDescent="0.2">
      <c r="B4" s="84"/>
      <c r="BC4" s="33"/>
      <c r="BD4" s="4"/>
    </row>
    <row r="5" spans="1:56" ht="20.25" customHeight="1" x14ac:dyDescent="0.2">
      <c r="B5" s="144" t="s">
        <v>43</v>
      </c>
      <c r="C5" s="145"/>
      <c r="D5" s="146"/>
      <c r="BC5" s="33"/>
      <c r="BD5" s="4"/>
    </row>
    <row r="6" spans="1:56" ht="20.25" customHeight="1" x14ac:dyDescent="0.2">
      <c r="B6" s="144" t="s">
        <v>44</v>
      </c>
      <c r="C6" s="145"/>
      <c r="D6" s="146"/>
      <c r="BC6" s="33"/>
      <c r="BD6" s="4"/>
    </row>
    <row r="7" spans="1:56" ht="20.25" customHeight="1" x14ac:dyDescent="0.2">
      <c r="B7" s="144"/>
      <c r="C7" s="145"/>
      <c r="D7" s="146"/>
      <c r="BC7" s="33"/>
      <c r="BD7" s="4"/>
    </row>
    <row r="8" spans="1:56" ht="20.25" customHeight="1" x14ac:dyDescent="0.2">
      <c r="B8" s="144"/>
      <c r="C8" s="145"/>
      <c r="D8" s="146"/>
      <c r="BC8" s="33"/>
      <c r="BD8" s="4"/>
    </row>
    <row r="9" spans="1:56" ht="20.25" customHeight="1" x14ac:dyDescent="0.2">
      <c r="B9" s="144"/>
      <c r="C9" s="145"/>
      <c r="D9" s="146"/>
      <c r="BC9" s="33"/>
      <c r="BD9" s="4"/>
    </row>
    <row r="10" spans="1:56" ht="13.5" customHeight="1" x14ac:dyDescent="0.25">
      <c r="B10" s="30"/>
      <c r="K10" s="79"/>
    </row>
    <row r="11" spans="1:56" ht="21" customHeight="1" x14ac:dyDescent="0.2">
      <c r="B11" s="138" t="s">
        <v>21</v>
      </c>
      <c r="C11" s="139"/>
      <c r="D11" s="140"/>
      <c r="J11" s="80"/>
      <c r="K11" s="79"/>
      <c r="M11" s="81"/>
    </row>
    <row r="12" spans="1:56" ht="21" customHeight="1" x14ac:dyDescent="0.2">
      <c r="B12" s="141">
        <v>41856</v>
      </c>
      <c r="C12" s="142"/>
      <c r="D12" s="143"/>
      <c r="E12" s="121"/>
      <c r="F12" s="120"/>
      <c r="G12" s="120"/>
      <c r="H12" s="120"/>
      <c r="J12" s="80"/>
      <c r="K12" s="79"/>
      <c r="M12" s="81"/>
    </row>
    <row r="13" spans="1:56" x14ac:dyDescent="0.2">
      <c r="BC13" s="5"/>
      <c r="BD13" s="4"/>
    </row>
    <row r="14" spans="1:56" s="113" customFormat="1" ht="18" customHeight="1" x14ac:dyDescent="0.2">
      <c r="A14" s="130"/>
      <c r="B14" s="117" t="s">
        <v>18</v>
      </c>
      <c r="C14" s="118">
        <v>1</v>
      </c>
      <c r="D14" s="118">
        <v>2</v>
      </c>
      <c r="E14" s="118">
        <v>3</v>
      </c>
      <c r="F14" s="118">
        <v>4</v>
      </c>
      <c r="G14" s="118">
        <v>5</v>
      </c>
      <c r="H14" s="118">
        <v>6</v>
      </c>
      <c r="I14" s="118">
        <v>7</v>
      </c>
      <c r="J14" s="118">
        <v>8</v>
      </c>
      <c r="K14" s="118">
        <v>9</v>
      </c>
      <c r="L14" s="118">
        <v>10</v>
      </c>
      <c r="M14" s="118">
        <v>11</v>
      </c>
      <c r="N14" s="118">
        <v>12</v>
      </c>
      <c r="O14" s="118">
        <v>13</v>
      </c>
      <c r="P14" s="118">
        <v>14</v>
      </c>
      <c r="Q14" s="118">
        <v>15</v>
      </c>
      <c r="R14" s="118">
        <v>16</v>
      </c>
      <c r="S14" s="118">
        <v>17</v>
      </c>
      <c r="T14" s="118">
        <v>18</v>
      </c>
      <c r="U14" s="118">
        <v>19</v>
      </c>
      <c r="V14" s="118">
        <v>20</v>
      </c>
      <c r="W14" s="118">
        <v>21</v>
      </c>
      <c r="X14" s="118">
        <v>22</v>
      </c>
      <c r="Y14" s="118">
        <v>23</v>
      </c>
      <c r="Z14" s="118">
        <v>24</v>
      </c>
      <c r="AA14" s="118">
        <v>25</v>
      </c>
      <c r="AB14" s="118">
        <v>26</v>
      </c>
      <c r="AC14" s="118">
        <v>27</v>
      </c>
      <c r="AD14" s="118">
        <v>28</v>
      </c>
      <c r="AE14" s="118">
        <v>29</v>
      </c>
      <c r="AF14" s="118">
        <v>30</v>
      </c>
      <c r="AG14" s="118">
        <v>31</v>
      </c>
      <c r="AH14" s="118">
        <v>32</v>
      </c>
      <c r="AI14" s="118">
        <v>33</v>
      </c>
      <c r="AJ14" s="118">
        <v>34</v>
      </c>
      <c r="AK14" s="118">
        <v>35</v>
      </c>
      <c r="AL14" s="118">
        <v>36</v>
      </c>
      <c r="AM14" s="118">
        <v>37</v>
      </c>
      <c r="AN14" s="118">
        <v>38</v>
      </c>
      <c r="AO14" s="118">
        <v>39</v>
      </c>
      <c r="AP14" s="118">
        <v>40</v>
      </c>
      <c r="AQ14" s="118">
        <v>41</v>
      </c>
      <c r="AR14" s="118">
        <v>42</v>
      </c>
      <c r="AS14" s="118">
        <v>43</v>
      </c>
      <c r="AT14" s="118">
        <v>44</v>
      </c>
      <c r="AU14" s="118">
        <v>45</v>
      </c>
      <c r="AV14" s="118">
        <v>46</v>
      </c>
      <c r="AW14" s="118">
        <v>47</v>
      </c>
      <c r="AX14" s="118">
        <v>48</v>
      </c>
      <c r="AY14" s="118">
        <v>49</v>
      </c>
      <c r="AZ14" s="118">
        <v>50</v>
      </c>
      <c r="BA14" s="118">
        <v>51</v>
      </c>
      <c r="BB14" s="118">
        <v>52</v>
      </c>
      <c r="BC14" s="133" t="s">
        <v>19</v>
      </c>
    </row>
    <row r="15" spans="1:56" s="2" customFormat="1" ht="18" customHeight="1" x14ac:dyDescent="0.2">
      <c r="B15" s="115" t="s">
        <v>30</v>
      </c>
      <c r="C15" s="119" t="str">
        <f>TEXT(B12,"MMM")&amp;" "&amp;TEXT(B12,"D")</f>
        <v>Aug 5</v>
      </c>
      <c r="D15" s="116" t="str">
        <f>TEXT(B12+7,"MMM")&amp;" "&amp;TEXT(B12+7,"D")</f>
        <v>Aug 12</v>
      </c>
      <c r="E15" s="119" t="str">
        <f>TEXT(B12+14,"MMM")&amp;" "&amp;TEXT(B12+14,"D")</f>
        <v>Aug 19</v>
      </c>
      <c r="F15" s="116" t="str">
        <f>TEXT(B12+21,"MMM")&amp;" "&amp;TEXT(B12+21,"D")</f>
        <v>Aug 26</v>
      </c>
      <c r="G15" s="119" t="str">
        <f>TEXT(B12+28,"MMM")&amp;" "&amp;TEXT(B12+28,"D")</f>
        <v>Sep 2</v>
      </c>
      <c r="H15" s="116" t="str">
        <f>TEXT(B12+35,"MMM")&amp;" "&amp;TEXT(B12+35,"D")</f>
        <v>Sep 9</v>
      </c>
      <c r="I15" s="119" t="str">
        <f>TEXT(B12+42,"MMM")&amp;" "&amp;TEXT(B12+42,"D")</f>
        <v>Sep 16</v>
      </c>
      <c r="J15" s="116" t="str">
        <f>TEXT(B12+49,"MMM")&amp;" "&amp;TEXT(B12+49,"D")</f>
        <v>Sep 23</v>
      </c>
      <c r="K15" s="119" t="str">
        <f>TEXT(B12+56,"MMM")&amp;" "&amp;TEXT(B12+56,"D")</f>
        <v>Sep 30</v>
      </c>
      <c r="L15" s="116" t="str">
        <f>TEXT(B12+63,"MMM")&amp;" "&amp;TEXT(B12+63,"D")</f>
        <v>Oct 7</v>
      </c>
      <c r="M15" s="119" t="str">
        <f>TEXT(B12+70,"MMM")&amp;" "&amp;TEXT(B12+70,"D")</f>
        <v>Oct 14</v>
      </c>
      <c r="N15" s="116" t="str">
        <f>TEXT(B12+77,"MMM")&amp;" "&amp;TEXT(B12+77,"D")</f>
        <v>Oct 21</v>
      </c>
      <c r="O15" s="119" t="str">
        <f>TEXT(B12+84,"MMM")&amp;" "&amp;TEXT(B12+84,"D")</f>
        <v>Oct 28</v>
      </c>
      <c r="P15" s="116" t="str">
        <f>TEXT(B12+91,"MMM")&amp;" "&amp;TEXT(B12+91,"D")</f>
        <v>Nov 4</v>
      </c>
      <c r="Q15" s="119" t="str">
        <f>TEXT(B12+98,"MMM")&amp;" "&amp;TEXT(B12+98,"D")</f>
        <v>Nov 11</v>
      </c>
      <c r="R15" s="122" t="str">
        <f>TEXT(B12+105,"MMM")&amp;" "&amp;TEXT(B12+105,"D")</f>
        <v>Nov 18</v>
      </c>
      <c r="S15" s="119" t="str">
        <f>TEXT(B12+112,"MMM")&amp;" "&amp;TEXT(B12+112,"D")</f>
        <v>Nov 25</v>
      </c>
      <c r="T15" s="122" t="str">
        <f>TEXT(B12+119,"MMM")&amp;" "&amp;TEXT(B12+119,"D")</f>
        <v>Dec 2</v>
      </c>
      <c r="U15" s="119" t="str">
        <f>TEXT(B12+126,"MMM")&amp;" "&amp;TEXT(B12+126,"D")</f>
        <v>Dec 9</v>
      </c>
      <c r="V15" s="122" t="str">
        <f>TEXT(B12+133,"MMM")&amp;" "&amp;TEXT(B12+133,"D")</f>
        <v>Dec 16</v>
      </c>
      <c r="W15" s="119" t="str">
        <f>TEXT(B12+140,"MMM")&amp;" "&amp;TEXT(B12+140,"D")</f>
        <v>Dec 23</v>
      </c>
      <c r="X15" s="122" t="str">
        <f>TEXT(B12+147,"MMM")&amp;" "&amp;TEXT(B12+147,"D")</f>
        <v>Dec 30</v>
      </c>
      <c r="Y15" s="119" t="str">
        <f>TEXT(B12+154,"MMM")&amp;" "&amp;TEXT(B12+154,"D")</f>
        <v>Jan 6</v>
      </c>
      <c r="Z15" s="122" t="str">
        <f>TEXT(B12+161,"MMM")&amp;" "&amp;TEXT(B12+161,"D")</f>
        <v>Jan 13</v>
      </c>
      <c r="AA15" s="119" t="str">
        <f>TEXT(B12+168,"MMM")&amp;" "&amp;TEXT(B12+168,"D")</f>
        <v>Jan 20</v>
      </c>
      <c r="AB15" s="122" t="str">
        <f>TEXT(B12+175,"MMM")&amp;" "&amp;TEXT(B12+175,"D")</f>
        <v>Jan 27</v>
      </c>
      <c r="AC15" s="119" t="str">
        <f>TEXT(B12+182,"MMM")&amp;" "&amp;TEXT(B12+182,"D")</f>
        <v>Feb 3</v>
      </c>
      <c r="AD15" s="122" t="str">
        <f>TEXT(B12+189,"MMM")&amp;" "&amp;TEXT(B12+189,"D")</f>
        <v>Feb 10</v>
      </c>
      <c r="AE15" s="119" t="str">
        <f>TEXT(B12+196,"MMM")&amp;" "&amp;TEXT(B12+196,"D")</f>
        <v>Feb 17</v>
      </c>
      <c r="AF15" s="122" t="str">
        <f>TEXT(B12+203,"MMM")&amp;" "&amp;TEXT(B12+203,"D")</f>
        <v>Feb 24</v>
      </c>
      <c r="AG15" s="119" t="str">
        <f>TEXT(B12+210,"MMM")&amp;" "&amp;TEXT(B12+210,"D")</f>
        <v>Mar 3</v>
      </c>
      <c r="AH15" s="122" t="str">
        <f>TEXT(B12+217,"MMM")&amp;" "&amp;TEXT(B12+217,"D")</f>
        <v>Mar 10</v>
      </c>
      <c r="AI15" s="119" t="str">
        <f>TEXT(B12+224,"MMM")&amp;" "&amp;TEXT(B12+224,"D")</f>
        <v>Mar 17</v>
      </c>
      <c r="AJ15" s="122" t="str">
        <f>TEXT(B12+231,"MMM")&amp;" "&amp;TEXT(B12+231,"D")</f>
        <v>Mar 24</v>
      </c>
      <c r="AK15" s="119" t="str">
        <f>TEXT(B12+238,"MMM")&amp;" "&amp;TEXT(B12+238,"D")</f>
        <v>Mar 31</v>
      </c>
      <c r="AL15" s="122" t="str">
        <f>TEXT(B12+245,"MMM")&amp;" "&amp;TEXT(B12+245,"D")</f>
        <v>Apr 7</v>
      </c>
      <c r="AM15" s="119" t="str">
        <f>TEXT(B12+252,"MMM")&amp;" "&amp;TEXT(B12+252,"D")</f>
        <v>Apr 14</v>
      </c>
      <c r="AN15" s="122" t="str">
        <f>TEXT(B12+259,"MMM")&amp;" "&amp;TEXT(B12+259,"D")</f>
        <v>Apr 21</v>
      </c>
      <c r="AO15" s="119" t="str">
        <f>TEXT(B12+266,"MMM")&amp;" "&amp;TEXT(B12+266,"D")</f>
        <v>Apr 28</v>
      </c>
      <c r="AP15" s="122" t="str">
        <f>TEXT(B12+273,"MMM")&amp;" "&amp;TEXT(B12+273,"D")</f>
        <v>May 5</v>
      </c>
      <c r="AQ15" s="119" t="str">
        <f>TEXT(B12+280,"MMM")&amp;" "&amp;TEXT(B12+280,"D")</f>
        <v>May 12</v>
      </c>
      <c r="AR15" s="122" t="str">
        <f>TEXT(B12+287,"MMM")&amp;" "&amp;TEXT(B12+287,"D")</f>
        <v>May 19</v>
      </c>
      <c r="AS15" s="119" t="str">
        <f>TEXT(B12+294,"MMM")&amp;" "&amp;TEXT(B12+294,"D")</f>
        <v>May 26</v>
      </c>
      <c r="AT15" s="122" t="str">
        <f>TEXT(B12+301,"MMM")&amp;" "&amp;TEXT(B12+301,"D")</f>
        <v>Jun 2</v>
      </c>
      <c r="AU15" s="119" t="str">
        <f>TEXT(B12+308,"MMM")&amp;" "&amp;TEXT(B12+308,"D")</f>
        <v>Jun 9</v>
      </c>
      <c r="AV15" s="122" t="str">
        <f>TEXT(B12+315,"MMM")&amp;" "&amp;TEXT(B12+315,"D")</f>
        <v>Jun 16</v>
      </c>
      <c r="AW15" s="119" t="str">
        <f>TEXT(B12+322,"MMM")&amp;" "&amp;TEXT(B12+322,"D")</f>
        <v>Jun 23</v>
      </c>
      <c r="AX15" s="122" t="str">
        <f>TEXT(B12+329,"MMM")&amp;" "&amp;TEXT(B12+329,"D")</f>
        <v>Jun 30</v>
      </c>
      <c r="AY15" s="119" t="str">
        <f>TEXT(B12+336,"MMM")&amp;" "&amp;TEXT(B12+336,"D")</f>
        <v>Jul 7</v>
      </c>
      <c r="AZ15" s="122" t="str">
        <f>TEXT(B12+343,"MMM")&amp;" "&amp;TEXT(B12+343,"D")</f>
        <v>Jul 14</v>
      </c>
      <c r="BA15" s="119" t="str">
        <f>TEXT(B12+350,"MMM")&amp;" "&amp;TEXT(B12+350,"D")</f>
        <v>Jul 21</v>
      </c>
      <c r="BB15" s="122" t="str">
        <f>TEXT(B12+357,"MMM")&amp;" "&amp;TEXT(B12+357,"D")</f>
        <v>Jul 28</v>
      </c>
      <c r="BC15" s="134"/>
    </row>
    <row r="16" spans="1:56" ht="36.75" customHeight="1" x14ac:dyDescent="0.2">
      <c r="B16" s="102" t="s">
        <v>35</v>
      </c>
      <c r="C16" s="85"/>
      <c r="D16" s="135" t="s">
        <v>42</v>
      </c>
      <c r="E16" s="136"/>
      <c r="F16" s="136"/>
      <c r="G16" s="136"/>
      <c r="H16" s="136"/>
      <c r="I16" s="137"/>
      <c r="J16" s="86"/>
      <c r="K16" s="87"/>
      <c r="L16" s="86"/>
      <c r="M16" s="87"/>
      <c r="N16" s="83" t="s">
        <v>34</v>
      </c>
      <c r="O16" s="82"/>
      <c r="P16" s="83"/>
      <c r="Q16" s="87"/>
      <c r="R16" s="86"/>
      <c r="S16" s="87"/>
      <c r="T16" s="86"/>
      <c r="U16" s="87"/>
      <c r="V16" s="86"/>
      <c r="W16" s="88"/>
      <c r="X16" s="86"/>
      <c r="Y16" s="88"/>
      <c r="Z16" s="86"/>
      <c r="AA16" s="88"/>
      <c r="AB16" s="86"/>
      <c r="AC16" s="88"/>
      <c r="AD16" s="86"/>
      <c r="AE16" s="88"/>
      <c r="AF16" s="86"/>
      <c r="AG16" s="88"/>
      <c r="AH16" s="86"/>
      <c r="AI16" s="88"/>
      <c r="AJ16" s="86"/>
      <c r="AK16" s="88"/>
      <c r="AL16" s="86"/>
      <c r="AM16" s="88"/>
      <c r="AN16" s="86"/>
      <c r="AO16" s="88"/>
      <c r="AP16" s="86"/>
      <c r="AQ16" s="88"/>
      <c r="AR16" s="86"/>
      <c r="AS16" s="88"/>
      <c r="AT16" s="86"/>
      <c r="AU16" s="88"/>
      <c r="AV16" s="86"/>
      <c r="AW16" s="88"/>
      <c r="AX16" s="86"/>
      <c r="AY16" s="88"/>
      <c r="AZ16" s="86"/>
      <c r="BA16" s="88"/>
      <c r="BB16" s="86"/>
      <c r="BC16" s="89"/>
    </row>
    <row r="17" spans="2:55" ht="21" customHeight="1" x14ac:dyDescent="0.2">
      <c r="B17" s="103" t="s">
        <v>36</v>
      </c>
      <c r="C17" s="100"/>
      <c r="D17" s="86"/>
      <c r="E17" s="87"/>
      <c r="F17" s="86"/>
      <c r="G17" s="87"/>
      <c r="H17" s="86"/>
      <c r="I17" s="87"/>
      <c r="J17" s="86"/>
      <c r="K17" s="87"/>
      <c r="L17" s="86"/>
      <c r="M17" s="87"/>
      <c r="N17" s="86"/>
      <c r="O17" s="87"/>
      <c r="P17" s="86"/>
      <c r="Q17" s="87"/>
      <c r="R17" s="86"/>
      <c r="S17" s="87"/>
      <c r="T17" s="86"/>
      <c r="U17" s="87"/>
      <c r="V17" s="86"/>
      <c r="W17" s="88"/>
      <c r="X17" s="86"/>
      <c r="Y17" s="88"/>
      <c r="Z17" s="86"/>
      <c r="AA17" s="88"/>
      <c r="AB17" s="86"/>
      <c r="AC17" s="88"/>
      <c r="AD17" s="86"/>
      <c r="AE17" s="88"/>
      <c r="AF17" s="86"/>
      <c r="AG17" s="88"/>
      <c r="AH17" s="86"/>
      <c r="AI17" s="88"/>
      <c r="AJ17" s="86"/>
      <c r="AK17" s="88"/>
      <c r="AL17" s="86"/>
      <c r="AM17" s="88"/>
      <c r="AN17" s="86"/>
      <c r="AO17" s="88"/>
      <c r="AP17" s="86"/>
      <c r="AQ17" s="88"/>
      <c r="AR17" s="86"/>
      <c r="AS17" s="88"/>
      <c r="AT17" s="86"/>
      <c r="AU17" s="88"/>
      <c r="AV17" s="86"/>
      <c r="AW17" s="88"/>
      <c r="AX17" s="86"/>
      <c r="AY17" s="88"/>
      <c r="AZ17" s="86"/>
      <c r="BA17" s="88"/>
      <c r="BB17" s="101"/>
      <c r="BC17" s="89"/>
    </row>
    <row r="18" spans="2:55" ht="21" customHeight="1" x14ac:dyDescent="0.2">
      <c r="B18" s="104" t="s">
        <v>37</v>
      </c>
      <c r="C18" s="95"/>
      <c r="D18" s="96"/>
      <c r="E18" s="97"/>
      <c r="F18" s="96"/>
      <c r="G18" s="97"/>
      <c r="H18" s="96"/>
      <c r="I18" s="97"/>
      <c r="J18" s="96"/>
      <c r="K18" s="97"/>
      <c r="L18" s="96"/>
      <c r="M18" s="97"/>
      <c r="N18" s="96"/>
      <c r="O18" s="97"/>
      <c r="P18" s="96"/>
      <c r="Q18" s="97"/>
      <c r="R18" s="96"/>
      <c r="S18" s="97"/>
      <c r="T18" s="96"/>
      <c r="U18" s="97"/>
      <c r="V18" s="96"/>
      <c r="W18" s="98"/>
      <c r="X18" s="96"/>
      <c r="Y18" s="98"/>
      <c r="Z18" s="96"/>
      <c r="AA18" s="98"/>
      <c r="AB18" s="96"/>
      <c r="AC18" s="98"/>
      <c r="AD18" s="96"/>
      <c r="AE18" s="98"/>
      <c r="AF18" s="96"/>
      <c r="AG18" s="98"/>
      <c r="AH18" s="96"/>
      <c r="AI18" s="98"/>
      <c r="AJ18" s="96"/>
      <c r="AK18" s="98"/>
      <c r="AL18" s="96"/>
      <c r="AM18" s="98"/>
      <c r="AN18" s="96"/>
      <c r="AO18" s="98"/>
      <c r="AP18" s="96"/>
      <c r="AQ18" s="98"/>
      <c r="AR18" s="96"/>
      <c r="AS18" s="98"/>
      <c r="AT18" s="96"/>
      <c r="AU18" s="98"/>
      <c r="AV18" s="96"/>
      <c r="AW18" s="98"/>
      <c r="AX18" s="96"/>
      <c r="AY18" s="98"/>
      <c r="AZ18" s="96"/>
      <c r="BA18" s="98"/>
      <c r="BB18" s="99"/>
      <c r="BC18" s="89"/>
    </row>
    <row r="19" spans="2:55" ht="21" customHeight="1" x14ac:dyDescent="0.2">
      <c r="B19" s="105" t="s">
        <v>40</v>
      </c>
      <c r="C19" s="90"/>
      <c r="D19" s="91"/>
      <c r="E19" s="92"/>
      <c r="F19" s="91"/>
      <c r="G19" s="92"/>
      <c r="H19" s="91"/>
      <c r="I19" s="92"/>
      <c r="J19" s="91"/>
      <c r="K19" s="92"/>
      <c r="L19" s="91"/>
      <c r="M19" s="92"/>
      <c r="N19" s="91"/>
      <c r="O19" s="92"/>
      <c r="P19" s="91"/>
      <c r="Q19" s="92"/>
      <c r="R19" s="91"/>
      <c r="S19" s="92"/>
      <c r="T19" s="91"/>
      <c r="U19" s="92"/>
      <c r="V19" s="91"/>
      <c r="W19" s="93"/>
      <c r="X19" s="91"/>
      <c r="Y19" s="93"/>
      <c r="Z19" s="91"/>
      <c r="AA19" s="93"/>
      <c r="AB19" s="91"/>
      <c r="AC19" s="93"/>
      <c r="AD19" s="91"/>
      <c r="AE19" s="93"/>
      <c r="AF19" s="91"/>
      <c r="AG19" s="93"/>
      <c r="AH19" s="91"/>
      <c r="AI19" s="93"/>
      <c r="AJ19" s="91"/>
      <c r="AK19" s="93"/>
      <c r="AL19" s="91"/>
      <c r="AM19" s="93"/>
      <c r="AN19" s="91"/>
      <c r="AO19" s="93"/>
      <c r="AP19" s="91"/>
      <c r="AQ19" s="93"/>
      <c r="AR19" s="91"/>
      <c r="AS19" s="93"/>
      <c r="AT19" s="91"/>
      <c r="AU19" s="93"/>
      <c r="AV19" s="91"/>
      <c r="AW19" s="93"/>
      <c r="AX19" s="91"/>
      <c r="AY19" s="93"/>
      <c r="AZ19" s="91"/>
      <c r="BA19" s="93"/>
      <c r="BB19" s="94"/>
      <c r="BC19" s="106"/>
    </row>
    <row r="20" spans="2:55" ht="21" customHeight="1" x14ac:dyDescent="0.2">
      <c r="B20" s="114" t="s">
        <v>41</v>
      </c>
      <c r="C20" s="107"/>
      <c r="D20" s="108"/>
      <c r="E20" s="109"/>
      <c r="F20" s="108"/>
      <c r="G20" s="109"/>
      <c r="H20" s="108"/>
      <c r="I20" s="109"/>
      <c r="J20" s="108"/>
      <c r="K20" s="109"/>
      <c r="L20" s="108"/>
      <c r="M20" s="109"/>
      <c r="N20" s="108"/>
      <c r="O20" s="109"/>
      <c r="P20" s="108"/>
      <c r="Q20" s="109"/>
      <c r="R20" s="108"/>
      <c r="S20" s="109"/>
      <c r="T20" s="108"/>
      <c r="U20" s="109"/>
      <c r="V20" s="108"/>
      <c r="W20" s="110"/>
      <c r="X20" s="108"/>
      <c r="Y20" s="110"/>
      <c r="Z20" s="108"/>
      <c r="AA20" s="110"/>
      <c r="AB20" s="108"/>
      <c r="AC20" s="110"/>
      <c r="AD20" s="108"/>
      <c r="AE20" s="110"/>
      <c r="AF20" s="108"/>
      <c r="AG20" s="110"/>
      <c r="AH20" s="108"/>
      <c r="AI20" s="110"/>
      <c r="AJ20" s="108"/>
      <c r="AK20" s="110"/>
      <c r="AL20" s="108"/>
      <c r="AM20" s="110"/>
      <c r="AN20" s="108"/>
      <c r="AO20" s="110"/>
      <c r="AP20" s="108"/>
      <c r="AQ20" s="110"/>
      <c r="AR20" s="108"/>
      <c r="AS20" s="110"/>
      <c r="AT20" s="108"/>
      <c r="AU20" s="110"/>
      <c r="AV20" s="108"/>
      <c r="AW20" s="110"/>
      <c r="AX20" s="108"/>
      <c r="AY20" s="110"/>
      <c r="AZ20" s="108"/>
      <c r="BA20" s="110"/>
      <c r="BB20" s="111"/>
      <c r="BC20" s="112"/>
    </row>
  </sheetData>
  <dataConsolidate/>
  <mergeCells count="9">
    <mergeCell ref="BC14:BC15"/>
    <mergeCell ref="D16:I16"/>
    <mergeCell ref="B11:D11"/>
    <mergeCell ref="B12:D12"/>
    <mergeCell ref="B5:D5"/>
    <mergeCell ref="B6:D6"/>
    <mergeCell ref="B7:D7"/>
    <mergeCell ref="B8:D8"/>
    <mergeCell ref="B9:D9"/>
  </mergeCells>
  <printOptions horizontalCentered="1"/>
  <pageMargins left="0.35" right="0.35" top="0.35" bottom="0.35" header="0.25" footer="0.25"/>
  <pageSetup scale="13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N33"/>
  <sheetViews>
    <sheetView showGridLines="0" topLeftCell="B1" zoomScale="90" zoomScaleNormal="90" workbookViewId="0">
      <selection activeCell="L3" sqref="L3"/>
    </sheetView>
  </sheetViews>
  <sheetFormatPr defaultColWidth="3.85546875" defaultRowHeight="14.25" x14ac:dyDescent="0.2"/>
  <cols>
    <col min="1" max="1" width="2.85546875" style="1" customWidth="1"/>
    <col min="2" max="2" width="9.140625" style="1" customWidth="1"/>
    <col min="3" max="26" width="4.85546875" style="1" customWidth="1"/>
    <col min="27" max="27" width="18.7109375" style="1" customWidth="1"/>
    <col min="28" max="28" width="3.85546875" style="1"/>
    <col min="29" max="29" width="28.7109375" style="1" customWidth="1"/>
    <col min="30" max="16384" width="3.85546875" style="1"/>
  </cols>
  <sheetData>
    <row r="1" spans="2:40" ht="33.75" customHeight="1" x14ac:dyDescent="0.2">
      <c r="B1" s="21" t="s">
        <v>33</v>
      </c>
      <c r="P1" s="131" t="b">
        <v>1</v>
      </c>
      <c r="Z1" s="33"/>
      <c r="AA1" s="33" t="s">
        <v>20</v>
      </c>
      <c r="AB1" s="4"/>
    </row>
    <row r="2" spans="2:40" ht="13.5" customHeight="1" thickBot="1" x14ac:dyDescent="0.3">
      <c r="B2" s="30"/>
      <c r="AC2" s="66" t="s">
        <v>26</v>
      </c>
      <c r="AD2" s="66"/>
      <c r="AE2" s="66"/>
      <c r="AF2" s="66"/>
      <c r="AG2" s="66"/>
    </row>
    <row r="3" spans="2:40" ht="21" customHeight="1" thickBot="1" x14ac:dyDescent="0.25">
      <c r="B3" s="27"/>
      <c r="C3" s="28"/>
      <c r="D3" s="31" t="s">
        <v>31</v>
      </c>
      <c r="E3" s="147">
        <v>41640</v>
      </c>
      <c r="F3" s="148"/>
      <c r="G3" s="148"/>
      <c r="H3" s="149"/>
      <c r="AC3" s="32" t="s">
        <v>28</v>
      </c>
    </row>
    <row r="4" spans="2:40" ht="15" thickBot="1" x14ac:dyDescent="0.25">
      <c r="AA4" s="5"/>
      <c r="AB4" s="4"/>
      <c r="AC4" s="29"/>
      <c r="AD4" s="29"/>
      <c r="AE4" s="29"/>
      <c r="AF4" s="29"/>
      <c r="AG4" s="29"/>
    </row>
    <row r="5" spans="2:40" s="2" customFormat="1" ht="18" customHeight="1" x14ac:dyDescent="0.2">
      <c r="B5" s="47" t="s">
        <v>29</v>
      </c>
      <c r="C5" s="46">
        <v>1</v>
      </c>
      <c r="D5" s="23">
        <f>C5+1</f>
        <v>2</v>
      </c>
      <c r="E5" s="22">
        <f t="shared" ref="E5:X5" si="0">D5+1</f>
        <v>3</v>
      </c>
      <c r="F5" s="23">
        <f t="shared" si="0"/>
        <v>4</v>
      </c>
      <c r="G5" s="22">
        <f t="shared" si="0"/>
        <v>5</v>
      </c>
      <c r="H5" s="23">
        <f t="shared" si="0"/>
        <v>6</v>
      </c>
      <c r="I5" s="22">
        <f t="shared" si="0"/>
        <v>7</v>
      </c>
      <c r="J5" s="23">
        <f t="shared" si="0"/>
        <v>8</v>
      </c>
      <c r="K5" s="22">
        <f t="shared" si="0"/>
        <v>9</v>
      </c>
      <c r="L5" s="23">
        <f t="shared" si="0"/>
        <v>10</v>
      </c>
      <c r="M5" s="22">
        <f t="shared" si="0"/>
        <v>11</v>
      </c>
      <c r="N5" s="23">
        <f t="shared" si="0"/>
        <v>12</v>
      </c>
      <c r="O5" s="22">
        <f t="shared" si="0"/>
        <v>13</v>
      </c>
      <c r="P5" s="23">
        <f t="shared" si="0"/>
        <v>14</v>
      </c>
      <c r="Q5" s="22">
        <f t="shared" si="0"/>
        <v>15</v>
      </c>
      <c r="R5" s="64">
        <f t="shared" si="0"/>
        <v>16</v>
      </c>
      <c r="S5" s="26">
        <f t="shared" si="0"/>
        <v>17</v>
      </c>
      <c r="T5" s="64">
        <f t="shared" si="0"/>
        <v>18</v>
      </c>
      <c r="U5" s="26">
        <f t="shared" si="0"/>
        <v>19</v>
      </c>
      <c r="V5" s="64">
        <f t="shared" si="0"/>
        <v>20</v>
      </c>
      <c r="W5" s="26">
        <f t="shared" si="0"/>
        <v>21</v>
      </c>
      <c r="X5" s="64">
        <f t="shared" si="0"/>
        <v>22</v>
      </c>
      <c r="Y5" s="26">
        <f t="shared" ref="Y5:Z5" si="1">X5+1</f>
        <v>23</v>
      </c>
      <c r="Z5" s="64">
        <f t="shared" si="1"/>
        <v>24</v>
      </c>
      <c r="AA5" s="55"/>
      <c r="AC5" s="40" t="s">
        <v>27</v>
      </c>
      <c r="AD5" s="41"/>
      <c r="AE5" s="29"/>
      <c r="AF5" s="29"/>
      <c r="AG5" s="29"/>
    </row>
    <row r="6" spans="2:40" s="2" customFormat="1" ht="18" customHeight="1" x14ac:dyDescent="0.2">
      <c r="B6" s="150"/>
      <c r="C6" s="75">
        <f>DATE(YEAR(E3),MONTH(E3),1)</f>
        <v>41640</v>
      </c>
      <c r="D6" s="76">
        <f>DATE(YEAR(C6+35),MONTH(C6+35),1)</f>
        <v>41671</v>
      </c>
      <c r="E6" s="75">
        <f t="shared" ref="E6:V6" si="2">DATE(YEAR(D6+35),MONTH(D6+35),1)</f>
        <v>41699</v>
      </c>
      <c r="F6" s="76">
        <f t="shared" si="2"/>
        <v>41730</v>
      </c>
      <c r="G6" s="75">
        <f t="shared" si="2"/>
        <v>41760</v>
      </c>
      <c r="H6" s="76">
        <f t="shared" si="2"/>
        <v>41791</v>
      </c>
      <c r="I6" s="75">
        <f t="shared" si="2"/>
        <v>41821</v>
      </c>
      <c r="J6" s="76">
        <f t="shared" si="2"/>
        <v>41852</v>
      </c>
      <c r="K6" s="75">
        <f t="shared" si="2"/>
        <v>41883</v>
      </c>
      <c r="L6" s="76">
        <f t="shared" si="2"/>
        <v>41913</v>
      </c>
      <c r="M6" s="75">
        <f t="shared" si="2"/>
        <v>41944</v>
      </c>
      <c r="N6" s="76">
        <f t="shared" si="2"/>
        <v>41974</v>
      </c>
      <c r="O6" s="75">
        <f t="shared" si="2"/>
        <v>42005</v>
      </c>
      <c r="P6" s="76">
        <f t="shared" si="2"/>
        <v>42036</v>
      </c>
      <c r="Q6" s="75">
        <f t="shared" si="2"/>
        <v>42064</v>
      </c>
      <c r="R6" s="76">
        <f t="shared" si="2"/>
        <v>42095</v>
      </c>
      <c r="S6" s="75">
        <f>DATE(YEAR(R6+35),MONTH(R6+35),1)</f>
        <v>42125</v>
      </c>
      <c r="T6" s="76">
        <f t="shared" si="2"/>
        <v>42156</v>
      </c>
      <c r="U6" s="75">
        <f t="shared" si="2"/>
        <v>42186</v>
      </c>
      <c r="V6" s="76">
        <f t="shared" si="2"/>
        <v>42217</v>
      </c>
      <c r="W6" s="75">
        <f t="shared" ref="W6:X6" si="3">DATE(YEAR(V6+35),MONTH(V6+35),1)</f>
        <v>42248</v>
      </c>
      <c r="X6" s="76">
        <f t="shared" si="3"/>
        <v>42278</v>
      </c>
      <c r="Y6" s="75">
        <f t="shared" ref="Y6:Z6" si="4">DATE(YEAR(X6+35),MONTH(X6+35),1)</f>
        <v>42309</v>
      </c>
      <c r="Z6" s="76">
        <f t="shared" si="4"/>
        <v>42339</v>
      </c>
      <c r="AA6" s="67" t="s">
        <v>19</v>
      </c>
      <c r="AC6" s="40"/>
      <c r="AD6" s="41"/>
      <c r="AE6" s="29"/>
      <c r="AF6" s="29"/>
      <c r="AG6" s="29"/>
    </row>
    <row r="7" spans="2:40" s="2" customFormat="1" ht="18" customHeight="1" thickBot="1" x14ac:dyDescent="0.25">
      <c r="B7" s="151"/>
      <c r="C7" s="77">
        <f>C6</f>
        <v>41640</v>
      </c>
      <c r="D7" s="78">
        <f t="shared" ref="D7:V7" si="5">D6</f>
        <v>41671</v>
      </c>
      <c r="E7" s="77">
        <f t="shared" si="5"/>
        <v>41699</v>
      </c>
      <c r="F7" s="78">
        <f t="shared" si="5"/>
        <v>41730</v>
      </c>
      <c r="G7" s="77">
        <f t="shared" si="5"/>
        <v>41760</v>
      </c>
      <c r="H7" s="78">
        <f t="shared" si="5"/>
        <v>41791</v>
      </c>
      <c r="I7" s="77">
        <f t="shared" si="5"/>
        <v>41821</v>
      </c>
      <c r="J7" s="78">
        <f t="shared" si="5"/>
        <v>41852</v>
      </c>
      <c r="K7" s="77">
        <f t="shared" si="5"/>
        <v>41883</v>
      </c>
      <c r="L7" s="78">
        <f t="shared" si="5"/>
        <v>41913</v>
      </c>
      <c r="M7" s="77">
        <f t="shared" si="5"/>
        <v>41944</v>
      </c>
      <c r="N7" s="78">
        <f t="shared" si="5"/>
        <v>41974</v>
      </c>
      <c r="O7" s="77">
        <f t="shared" si="5"/>
        <v>42005</v>
      </c>
      <c r="P7" s="78">
        <f t="shared" si="5"/>
        <v>42036</v>
      </c>
      <c r="Q7" s="77">
        <f t="shared" si="5"/>
        <v>42064</v>
      </c>
      <c r="R7" s="78">
        <f t="shared" si="5"/>
        <v>42095</v>
      </c>
      <c r="S7" s="77">
        <f t="shared" si="5"/>
        <v>42125</v>
      </c>
      <c r="T7" s="78">
        <f t="shared" si="5"/>
        <v>42156</v>
      </c>
      <c r="U7" s="77">
        <f t="shared" si="5"/>
        <v>42186</v>
      </c>
      <c r="V7" s="78">
        <f t="shared" si="5"/>
        <v>42217</v>
      </c>
      <c r="W7" s="77">
        <f t="shared" ref="W7" si="6">W6</f>
        <v>42248</v>
      </c>
      <c r="X7" s="78">
        <f t="shared" ref="X7" si="7">X6</f>
        <v>42278</v>
      </c>
      <c r="Y7" s="77">
        <f t="shared" ref="Y7" si="8">Y6</f>
        <v>42309</v>
      </c>
      <c r="Z7" s="78">
        <f t="shared" ref="Z7" si="9">Z6</f>
        <v>42339</v>
      </c>
      <c r="AA7" s="54"/>
      <c r="AC7" s="40"/>
      <c r="AD7" s="41"/>
      <c r="AE7" s="29"/>
      <c r="AF7" s="29"/>
      <c r="AG7" s="29"/>
    </row>
    <row r="8" spans="2:40" ht="21" customHeight="1" x14ac:dyDescent="0.3">
      <c r="B8" s="49" t="s">
        <v>22</v>
      </c>
      <c r="C8" s="57"/>
      <c r="D8" s="58"/>
      <c r="E8" s="59"/>
      <c r="F8" s="58"/>
      <c r="G8" s="59"/>
      <c r="H8" s="58"/>
      <c r="I8" s="59"/>
      <c r="J8" s="58"/>
      <c r="K8" s="59"/>
      <c r="L8" s="58"/>
      <c r="M8" s="59"/>
      <c r="N8" s="58"/>
      <c r="O8" s="59"/>
      <c r="P8" s="58"/>
      <c r="Q8" s="59"/>
      <c r="R8" s="58"/>
      <c r="S8" s="59"/>
      <c r="T8" s="58"/>
      <c r="U8" s="59"/>
      <c r="V8" s="58"/>
      <c r="W8" s="59"/>
      <c r="X8" s="58"/>
      <c r="Y8" s="59"/>
      <c r="Z8" s="58"/>
      <c r="AA8" s="60"/>
      <c r="AC8" s="42"/>
      <c r="AD8" s="41"/>
    </row>
    <row r="9" spans="2:40" ht="21" customHeight="1" x14ac:dyDescent="0.3">
      <c r="B9" s="49" t="s">
        <v>23</v>
      </c>
      <c r="C9" s="7"/>
      <c r="D9" s="9"/>
      <c r="E9" s="7"/>
      <c r="F9" s="9"/>
      <c r="G9" s="7"/>
      <c r="H9" s="9"/>
      <c r="I9" s="7"/>
      <c r="J9" s="9"/>
      <c r="K9" s="7"/>
      <c r="L9" s="9"/>
      <c r="M9" s="7"/>
      <c r="N9" s="9"/>
      <c r="O9" s="7"/>
      <c r="P9" s="9"/>
      <c r="Q9" s="7"/>
      <c r="R9" s="9"/>
      <c r="S9" s="7"/>
      <c r="T9" s="9"/>
      <c r="U9" s="7"/>
      <c r="V9" s="9"/>
      <c r="W9" s="7"/>
      <c r="X9" s="9"/>
      <c r="Y9" s="7"/>
      <c r="Z9" s="9"/>
      <c r="AA9" s="17"/>
      <c r="AC9" s="43"/>
      <c r="AD9" s="44"/>
    </row>
    <row r="10" spans="2:40" ht="21" customHeight="1" x14ac:dyDescent="0.3">
      <c r="B10" s="49"/>
      <c r="C10" s="7"/>
      <c r="D10" s="9"/>
      <c r="E10" s="7"/>
      <c r="F10" s="9"/>
      <c r="G10" s="7"/>
      <c r="H10" s="9"/>
      <c r="I10" s="7"/>
      <c r="J10" s="9"/>
      <c r="K10" s="7"/>
      <c r="L10" s="9"/>
      <c r="M10" s="7"/>
      <c r="N10" s="9"/>
      <c r="O10" s="7"/>
      <c r="P10" s="9"/>
      <c r="Q10" s="7"/>
      <c r="R10" s="9"/>
      <c r="S10" s="7"/>
      <c r="T10" s="9"/>
      <c r="U10" s="7"/>
      <c r="V10" s="9"/>
      <c r="W10" s="7"/>
      <c r="X10" s="9"/>
      <c r="Y10" s="7"/>
      <c r="Z10" s="9"/>
      <c r="AA10" s="17"/>
      <c r="AC10" s="43"/>
      <c r="AD10" s="44"/>
    </row>
    <row r="11" spans="2:40" ht="21" customHeight="1" x14ac:dyDescent="0.3">
      <c r="B11" s="49"/>
      <c r="C11" s="7"/>
      <c r="D11" s="9"/>
      <c r="E11" s="53"/>
      <c r="F11" s="9"/>
      <c r="G11" s="53"/>
      <c r="H11" s="9"/>
      <c r="I11" s="53"/>
      <c r="J11" s="9"/>
      <c r="K11" s="53"/>
      <c r="L11" s="9"/>
      <c r="M11" s="53"/>
      <c r="N11" s="9"/>
      <c r="O11" s="53"/>
      <c r="P11" s="9"/>
      <c r="Q11" s="53"/>
      <c r="R11" s="9"/>
      <c r="S11" s="53"/>
      <c r="T11" s="9"/>
      <c r="U11" s="53"/>
      <c r="V11" s="9"/>
      <c r="W11" s="53"/>
      <c r="X11" s="9"/>
      <c r="Y11" s="53"/>
      <c r="Z11" s="9"/>
      <c r="AA11" s="17"/>
      <c r="AC11" s="42"/>
      <c r="AD11" s="45"/>
    </row>
    <row r="12" spans="2:40" ht="21" customHeight="1" x14ac:dyDescent="0.3">
      <c r="B12" s="50" t="s">
        <v>22</v>
      </c>
      <c r="C12" s="7"/>
      <c r="D12" s="9"/>
      <c r="E12" s="7"/>
      <c r="F12" s="9"/>
      <c r="G12" s="7"/>
      <c r="H12" s="9"/>
      <c r="I12" s="7"/>
      <c r="J12" s="9"/>
      <c r="K12" s="7"/>
      <c r="L12" s="9"/>
      <c r="M12" s="7"/>
      <c r="N12" s="9"/>
      <c r="O12" s="7"/>
      <c r="P12" s="9"/>
      <c r="Q12" s="7"/>
      <c r="R12" s="9"/>
      <c r="S12" s="7"/>
      <c r="T12" s="9"/>
      <c r="U12" s="7"/>
      <c r="V12" s="9"/>
      <c r="W12" s="7"/>
      <c r="X12" s="9"/>
      <c r="Y12" s="7"/>
      <c r="Z12" s="9"/>
      <c r="AA12" s="17"/>
      <c r="AC12" s="42"/>
      <c r="AD12" s="41"/>
    </row>
    <row r="13" spans="2:40" ht="21" customHeight="1" x14ac:dyDescent="0.3">
      <c r="B13" s="50" t="s">
        <v>24</v>
      </c>
      <c r="C13" s="7"/>
      <c r="D13" s="9"/>
      <c r="E13" s="7"/>
      <c r="F13" s="9"/>
      <c r="G13" s="7"/>
      <c r="H13" s="9"/>
      <c r="I13" s="7"/>
      <c r="J13" s="9"/>
      <c r="K13" s="7"/>
      <c r="L13" s="9"/>
      <c r="M13" s="7"/>
      <c r="N13" s="9"/>
      <c r="O13" s="7"/>
      <c r="P13" s="9"/>
      <c r="Q13" s="7"/>
      <c r="R13" s="9"/>
      <c r="S13" s="7"/>
      <c r="T13" s="9"/>
      <c r="U13" s="7"/>
      <c r="V13" s="9"/>
      <c r="W13" s="7"/>
      <c r="X13" s="9"/>
      <c r="Y13" s="7"/>
      <c r="Z13" s="9"/>
      <c r="AA13" s="17"/>
      <c r="AC13" s="42"/>
      <c r="AD13" s="41"/>
      <c r="AK13" s="65"/>
      <c r="AL13" s="65"/>
      <c r="AM13" s="65"/>
      <c r="AN13" s="65"/>
    </row>
    <row r="14" spans="2:40" ht="21" customHeight="1" x14ac:dyDescent="0.3">
      <c r="B14" s="50"/>
      <c r="C14" s="7"/>
      <c r="D14" s="9"/>
      <c r="E14" s="7"/>
      <c r="F14" s="9"/>
      <c r="G14" s="7"/>
      <c r="H14" s="9"/>
      <c r="I14" s="7"/>
      <c r="J14" s="9"/>
      <c r="K14" s="7"/>
      <c r="L14" s="9"/>
      <c r="M14" s="7"/>
      <c r="N14" s="9"/>
      <c r="O14" s="7"/>
      <c r="P14" s="9"/>
      <c r="Q14" s="7"/>
      <c r="R14" s="9"/>
      <c r="S14" s="7"/>
      <c r="T14" s="9"/>
      <c r="U14" s="7"/>
      <c r="V14" s="9"/>
      <c r="W14" s="7"/>
      <c r="X14" s="9"/>
      <c r="Y14" s="7"/>
      <c r="Z14" s="9"/>
      <c r="AA14" s="17"/>
      <c r="AC14" s="42"/>
      <c r="AD14" s="41"/>
      <c r="AK14" s="65"/>
      <c r="AL14" s="65"/>
      <c r="AM14" s="65"/>
      <c r="AN14" s="65"/>
    </row>
    <row r="15" spans="2:40" ht="21" customHeight="1" x14ac:dyDescent="0.3">
      <c r="B15" s="50"/>
      <c r="C15" s="7"/>
      <c r="D15" s="9"/>
      <c r="E15" s="7"/>
      <c r="F15" s="9"/>
      <c r="G15" s="7"/>
      <c r="H15" s="9"/>
      <c r="I15" s="7"/>
      <c r="J15" s="9"/>
      <c r="K15" s="7"/>
      <c r="L15" s="9"/>
      <c r="M15" s="7"/>
      <c r="N15" s="9"/>
      <c r="O15" s="7"/>
      <c r="P15" s="9"/>
      <c r="Q15" s="7"/>
      <c r="R15" s="9"/>
      <c r="S15" s="7"/>
      <c r="T15" s="9"/>
      <c r="U15" s="7"/>
      <c r="V15" s="9"/>
      <c r="W15" s="7"/>
      <c r="X15" s="9"/>
      <c r="Y15" s="7"/>
      <c r="Z15" s="9"/>
      <c r="AA15" s="17"/>
      <c r="AC15" s="42"/>
      <c r="AD15" s="41"/>
      <c r="AK15" s="65"/>
      <c r="AL15" s="65"/>
      <c r="AM15" s="65"/>
      <c r="AN15" s="65"/>
    </row>
    <row r="16" spans="2:40" ht="21" customHeight="1" x14ac:dyDescent="0.3">
      <c r="B16" s="50"/>
      <c r="C16" s="7"/>
      <c r="D16" s="9"/>
      <c r="E16" s="7"/>
      <c r="F16" s="9"/>
      <c r="G16" s="7"/>
      <c r="H16" s="9"/>
      <c r="I16" s="7"/>
      <c r="J16" s="9"/>
      <c r="K16" s="7"/>
      <c r="L16" s="9"/>
      <c r="M16" s="7"/>
      <c r="N16" s="9"/>
      <c r="O16" s="7"/>
      <c r="P16" s="9"/>
      <c r="Q16" s="7"/>
      <c r="R16" s="9"/>
      <c r="S16" s="7"/>
      <c r="T16" s="9"/>
      <c r="U16" s="7"/>
      <c r="V16" s="9"/>
      <c r="W16" s="7"/>
      <c r="X16" s="9"/>
      <c r="Y16" s="7"/>
      <c r="Z16" s="9"/>
      <c r="AA16" s="17"/>
      <c r="AC16" s="42"/>
      <c r="AD16" s="41"/>
      <c r="AK16" s="65"/>
      <c r="AL16" s="65"/>
      <c r="AM16" s="65"/>
      <c r="AN16" s="65"/>
    </row>
    <row r="17" spans="2:40" ht="21" customHeight="1" x14ac:dyDescent="0.3">
      <c r="B17" s="50"/>
      <c r="C17" s="7"/>
      <c r="D17" s="9"/>
      <c r="E17" s="7"/>
      <c r="F17" s="9"/>
      <c r="G17" s="7"/>
      <c r="H17" s="9"/>
      <c r="I17" s="7"/>
      <c r="J17" s="9"/>
      <c r="K17" s="7"/>
      <c r="L17" s="9"/>
      <c r="M17" s="7"/>
      <c r="N17" s="9"/>
      <c r="O17" s="7"/>
      <c r="P17" s="9"/>
      <c r="Q17" s="7"/>
      <c r="R17" s="9"/>
      <c r="S17" s="7"/>
      <c r="T17" s="9"/>
      <c r="U17" s="7"/>
      <c r="V17" s="9"/>
      <c r="W17" s="7"/>
      <c r="X17" s="9"/>
      <c r="Y17" s="7"/>
      <c r="Z17" s="9"/>
      <c r="AA17" s="17"/>
      <c r="AC17" s="42"/>
      <c r="AD17" s="41"/>
      <c r="AK17" s="65"/>
      <c r="AL17" s="65"/>
      <c r="AM17" s="65"/>
      <c r="AN17" s="65"/>
    </row>
    <row r="18" spans="2:40" ht="21" customHeight="1" x14ac:dyDescent="0.3">
      <c r="B18" s="49" t="s">
        <v>22</v>
      </c>
      <c r="C18" s="8"/>
      <c r="D18" s="11"/>
      <c r="E18" s="8"/>
      <c r="F18" s="11"/>
      <c r="G18" s="8"/>
      <c r="H18" s="11"/>
      <c r="I18" s="8"/>
      <c r="J18" s="11"/>
      <c r="K18" s="8"/>
      <c r="L18" s="11"/>
      <c r="M18" s="8"/>
      <c r="N18" s="11"/>
      <c r="O18" s="8"/>
      <c r="P18" s="11"/>
      <c r="Q18" s="8"/>
      <c r="R18" s="11"/>
      <c r="S18" s="8"/>
      <c r="T18" s="11"/>
      <c r="U18" s="8"/>
      <c r="V18" s="11"/>
      <c r="W18" s="8"/>
      <c r="X18" s="11"/>
      <c r="Y18" s="8"/>
      <c r="Z18" s="11"/>
      <c r="AA18" s="17"/>
      <c r="AC18" s="42"/>
      <c r="AD18" s="41"/>
    </row>
    <row r="19" spans="2:40" ht="21" customHeight="1" x14ac:dyDescent="0.3">
      <c r="B19" s="49" t="s">
        <v>25</v>
      </c>
      <c r="C19" s="8"/>
      <c r="D19" s="11"/>
      <c r="E19" s="8"/>
      <c r="F19" s="11"/>
      <c r="G19" s="8"/>
      <c r="H19" s="11"/>
      <c r="I19" s="8"/>
      <c r="J19" s="11"/>
      <c r="K19" s="8"/>
      <c r="L19" s="11"/>
      <c r="M19" s="8"/>
      <c r="N19" s="11"/>
      <c r="O19" s="8"/>
      <c r="P19" s="11"/>
      <c r="Q19" s="8"/>
      <c r="R19" s="11"/>
      <c r="S19" s="8"/>
      <c r="T19" s="11"/>
      <c r="U19" s="8"/>
      <c r="V19" s="11"/>
      <c r="W19" s="8"/>
      <c r="X19" s="11"/>
      <c r="Y19" s="8"/>
      <c r="Z19" s="11"/>
      <c r="AA19" s="17"/>
      <c r="AC19" s="42"/>
      <c r="AD19" s="41"/>
    </row>
    <row r="20" spans="2:40" ht="21" customHeight="1" x14ac:dyDescent="0.3">
      <c r="B20" s="49"/>
      <c r="C20" s="8"/>
      <c r="D20" s="11"/>
      <c r="E20" s="8"/>
      <c r="F20" s="11"/>
      <c r="G20" s="8"/>
      <c r="H20" s="11"/>
      <c r="I20" s="8"/>
      <c r="J20" s="11"/>
      <c r="K20" s="8"/>
      <c r="L20" s="11"/>
      <c r="M20" s="8"/>
      <c r="N20" s="11"/>
      <c r="O20" s="8"/>
      <c r="P20" s="11"/>
      <c r="Q20" s="8"/>
      <c r="R20" s="11"/>
      <c r="S20" s="8"/>
      <c r="T20" s="11"/>
      <c r="U20" s="8"/>
      <c r="V20" s="11"/>
      <c r="W20" s="8"/>
      <c r="X20" s="11"/>
      <c r="Y20" s="8"/>
      <c r="Z20" s="11"/>
      <c r="AA20" s="17"/>
      <c r="AC20" s="42"/>
      <c r="AD20" s="41"/>
    </row>
    <row r="21" spans="2:40" ht="21" customHeight="1" x14ac:dyDescent="0.3">
      <c r="B21" s="51"/>
      <c r="C21" s="8"/>
      <c r="D21" s="11"/>
      <c r="E21" s="8"/>
      <c r="F21" s="11"/>
      <c r="G21" s="8"/>
      <c r="H21" s="11"/>
      <c r="I21" s="8"/>
      <c r="J21" s="11"/>
      <c r="K21" s="8"/>
      <c r="L21" s="11"/>
      <c r="M21" s="8"/>
      <c r="N21" s="11"/>
      <c r="O21" s="8"/>
      <c r="P21" s="11"/>
      <c r="Q21" s="8"/>
      <c r="R21" s="11"/>
      <c r="S21" s="8"/>
      <c r="T21" s="11"/>
      <c r="U21" s="8"/>
      <c r="V21" s="11"/>
      <c r="W21" s="8"/>
      <c r="X21" s="11"/>
      <c r="Y21" s="8"/>
      <c r="Z21" s="11"/>
      <c r="AA21" s="17"/>
      <c r="AC21" s="42"/>
      <c r="AD21" s="41"/>
    </row>
    <row r="22" spans="2:40" ht="21" customHeight="1" x14ac:dyDescent="0.3">
      <c r="B22" s="51"/>
      <c r="C22" s="8"/>
      <c r="D22" s="11"/>
      <c r="E22" s="8"/>
      <c r="F22" s="11"/>
      <c r="G22" s="8"/>
      <c r="H22" s="11"/>
      <c r="I22" s="8"/>
      <c r="J22" s="11"/>
      <c r="K22" s="8"/>
      <c r="L22" s="11"/>
      <c r="M22" s="8"/>
      <c r="N22" s="11"/>
      <c r="O22" s="8"/>
      <c r="P22" s="11"/>
      <c r="Q22" s="8"/>
      <c r="R22" s="11"/>
      <c r="S22" s="8"/>
      <c r="T22" s="11"/>
      <c r="U22" s="8"/>
      <c r="V22" s="11"/>
      <c r="W22" s="8"/>
      <c r="X22" s="11"/>
      <c r="Y22" s="8"/>
      <c r="Z22" s="11"/>
      <c r="AA22" s="17"/>
      <c r="AC22" s="42"/>
    </row>
    <row r="23" spans="2:40" ht="21" customHeight="1" x14ac:dyDescent="0.3">
      <c r="B23" s="51"/>
      <c r="C23" s="8"/>
      <c r="D23" s="11"/>
      <c r="E23" s="8"/>
      <c r="F23" s="11"/>
      <c r="G23" s="8"/>
      <c r="H23" s="11"/>
      <c r="I23" s="8"/>
      <c r="J23" s="11"/>
      <c r="K23" s="8"/>
      <c r="L23" s="11"/>
      <c r="M23" s="8"/>
      <c r="N23" s="11"/>
      <c r="O23" s="8"/>
      <c r="P23" s="11"/>
      <c r="Q23" s="8"/>
      <c r="R23" s="11"/>
      <c r="S23" s="8"/>
      <c r="T23" s="11"/>
      <c r="U23" s="8"/>
      <c r="V23" s="11"/>
      <c r="W23" s="8"/>
      <c r="X23" s="11"/>
      <c r="Y23" s="8"/>
      <c r="Z23" s="11"/>
      <c r="AA23" s="17"/>
      <c r="AC23" s="42"/>
    </row>
    <row r="24" spans="2:40" ht="21" customHeight="1" x14ac:dyDescent="0.2">
      <c r="B24" s="51"/>
      <c r="C24" s="8"/>
      <c r="D24" s="11"/>
      <c r="E24" s="8"/>
      <c r="F24" s="11"/>
      <c r="G24" s="8"/>
      <c r="H24" s="11"/>
      <c r="I24" s="8"/>
      <c r="J24" s="11"/>
      <c r="K24" s="8"/>
      <c r="L24" s="11"/>
      <c r="M24" s="8"/>
      <c r="N24" s="11"/>
      <c r="O24" s="8"/>
      <c r="P24" s="11"/>
      <c r="Q24" s="8"/>
      <c r="R24" s="11"/>
      <c r="S24" s="8"/>
      <c r="T24" s="11"/>
      <c r="U24" s="8"/>
      <c r="V24" s="11"/>
      <c r="W24" s="8"/>
      <c r="X24" s="11"/>
      <c r="Y24" s="8"/>
      <c r="Z24" s="11"/>
      <c r="AA24" s="17"/>
    </row>
    <row r="25" spans="2:40" ht="21" customHeight="1" x14ac:dyDescent="0.2">
      <c r="B25" s="51"/>
      <c r="C25" s="8"/>
      <c r="D25" s="11"/>
      <c r="E25" s="8"/>
      <c r="F25" s="11"/>
      <c r="G25" s="8"/>
      <c r="H25" s="11"/>
      <c r="I25" s="8"/>
      <c r="J25" s="11"/>
      <c r="K25" s="8"/>
      <c r="L25" s="11"/>
      <c r="M25" s="8"/>
      <c r="N25" s="11"/>
      <c r="O25" s="8"/>
      <c r="P25" s="11"/>
      <c r="Q25" s="8"/>
      <c r="R25" s="11"/>
      <c r="S25" s="8"/>
      <c r="T25" s="11"/>
      <c r="U25" s="8"/>
      <c r="V25" s="11"/>
      <c r="W25" s="8"/>
      <c r="X25" s="11"/>
      <c r="Y25" s="8"/>
      <c r="Z25" s="11"/>
      <c r="AA25" s="17"/>
    </row>
    <row r="26" spans="2:40" ht="21" customHeight="1" thickBot="1" x14ac:dyDescent="0.25">
      <c r="B26" s="52"/>
      <c r="C26" s="14"/>
      <c r="D26" s="13"/>
      <c r="E26" s="14"/>
      <c r="F26" s="13"/>
      <c r="G26" s="14"/>
      <c r="H26" s="13"/>
      <c r="I26" s="14"/>
      <c r="J26" s="13"/>
      <c r="K26" s="14"/>
      <c r="L26" s="13"/>
      <c r="M26" s="14"/>
      <c r="N26" s="13"/>
      <c r="O26" s="14"/>
      <c r="P26" s="13"/>
      <c r="Q26" s="14"/>
      <c r="R26" s="13"/>
      <c r="S26" s="14"/>
      <c r="T26" s="13"/>
      <c r="U26" s="14"/>
      <c r="V26" s="13"/>
      <c r="W26" s="14"/>
      <c r="X26" s="13"/>
      <c r="Y26" s="14"/>
      <c r="Z26" s="13"/>
      <c r="AA26" s="18"/>
    </row>
    <row r="27" spans="2:40" ht="21" customHeight="1" x14ac:dyDescent="0.2"/>
    <row r="28" spans="2:40" ht="21" customHeight="1" x14ac:dyDescent="0.2"/>
    <row r="29" spans="2:40" ht="21" customHeight="1" x14ac:dyDescent="0.2"/>
    <row r="30" spans="2:40" ht="21" customHeight="1" x14ac:dyDescent="0.2"/>
    <row r="31" spans="2:40" ht="21" customHeight="1" x14ac:dyDescent="0.2"/>
    <row r="32" spans="2:40" ht="21" customHeight="1" x14ac:dyDescent="0.2"/>
    <row r="33" ht="21" customHeight="1" x14ac:dyDescent="0.2"/>
  </sheetData>
  <mergeCells count="2">
    <mergeCell ref="E3:H3"/>
    <mergeCell ref="B6:B7"/>
  </mergeCells>
  <conditionalFormatting sqref="P1">
    <cfRule type="expression" dxfId="0" priority="1">
      <formula>P1</formula>
    </cfRule>
  </conditionalFormatting>
  <hyperlinks>
    <hyperlink ref="AC5" r:id="rId1"/>
  </hyperlinks>
  <printOptions horizontalCentered="1"/>
  <pageMargins left="0.35" right="0.35" top="0.35" bottom="0.35" header="0.25" footer="0.25"/>
  <pageSetup scale="91" fitToHeight="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Y32"/>
  <sheetViews>
    <sheetView showGridLines="0" topLeftCell="F1" workbookViewId="0">
      <selection activeCell="U21" sqref="U21"/>
    </sheetView>
  </sheetViews>
  <sheetFormatPr defaultColWidth="3.85546875" defaultRowHeight="14.25" x14ac:dyDescent="0.2"/>
  <cols>
    <col min="1" max="1" width="2.85546875" style="1" customWidth="1"/>
    <col min="2" max="2" width="10" style="1" customWidth="1"/>
    <col min="3" max="22" width="4.85546875" style="1" customWidth="1"/>
    <col min="23" max="23" width="23.140625" style="1" customWidth="1"/>
    <col min="24" max="24" width="3.85546875" style="1"/>
    <col min="25" max="25" width="28.7109375" style="1" customWidth="1"/>
    <col min="26" max="16384" width="3.85546875" style="1"/>
  </cols>
  <sheetData>
    <row r="1" spans="2:25" ht="33.75" customHeight="1" x14ac:dyDescent="0.2">
      <c r="B1" s="21" t="s">
        <v>33</v>
      </c>
      <c r="W1" s="33" t="s">
        <v>20</v>
      </c>
      <c r="X1" s="4"/>
    </row>
    <row r="2" spans="2:25" ht="13.5" customHeight="1" thickBot="1" x14ac:dyDescent="0.3">
      <c r="B2" s="30"/>
      <c r="Y2" s="66" t="s">
        <v>26</v>
      </c>
    </row>
    <row r="3" spans="2:25" ht="21" customHeight="1" thickBot="1" x14ac:dyDescent="0.25">
      <c r="B3" s="27"/>
      <c r="C3" s="28"/>
      <c r="D3" s="31" t="s">
        <v>21</v>
      </c>
      <c r="E3" s="147">
        <v>41644</v>
      </c>
      <c r="F3" s="148"/>
      <c r="G3" s="148"/>
      <c r="H3" s="149"/>
      <c r="Y3" s="32" t="s">
        <v>28</v>
      </c>
    </row>
    <row r="4" spans="2:25" ht="15" thickBot="1" x14ac:dyDescent="0.25">
      <c r="W4" s="5"/>
      <c r="X4" s="4"/>
      <c r="Y4" s="29"/>
    </row>
    <row r="5" spans="2:25" s="2" customFormat="1" ht="18" customHeight="1" x14ac:dyDescent="0.2">
      <c r="B5" s="47" t="s">
        <v>18</v>
      </c>
      <c r="C5" s="46">
        <v>1</v>
      </c>
      <c r="D5" s="23">
        <v>2</v>
      </c>
      <c r="E5" s="22">
        <v>3</v>
      </c>
      <c r="F5" s="23">
        <v>4</v>
      </c>
      <c r="G5" s="22">
        <v>5</v>
      </c>
      <c r="H5" s="23">
        <v>6</v>
      </c>
      <c r="I5" s="22">
        <v>7</v>
      </c>
      <c r="J5" s="23">
        <v>8</v>
      </c>
      <c r="K5" s="22">
        <v>9</v>
      </c>
      <c r="L5" s="23">
        <v>10</v>
      </c>
      <c r="M5" s="22">
        <v>11</v>
      </c>
      <c r="N5" s="23">
        <v>12</v>
      </c>
      <c r="O5" s="22">
        <v>13</v>
      </c>
      <c r="P5" s="23">
        <v>14</v>
      </c>
      <c r="Q5" s="22">
        <v>15</v>
      </c>
      <c r="R5" s="64">
        <v>16</v>
      </c>
      <c r="S5" s="26">
        <v>17</v>
      </c>
      <c r="T5" s="64">
        <v>18</v>
      </c>
      <c r="U5" s="26">
        <v>19</v>
      </c>
      <c r="V5" s="64">
        <v>20</v>
      </c>
      <c r="W5" s="55"/>
      <c r="Y5" s="40" t="s">
        <v>27</v>
      </c>
    </row>
    <row r="6" spans="2:25" s="2" customFormat="1" ht="18" customHeight="1" x14ac:dyDescent="0.2">
      <c r="B6" s="150" t="s">
        <v>30</v>
      </c>
      <c r="C6" s="56">
        <f>E3</f>
        <v>41644</v>
      </c>
      <c r="D6" s="62">
        <f>C6+7</f>
        <v>41651</v>
      </c>
      <c r="E6" s="56">
        <f t="shared" ref="E6:V6" si="0">D6+7</f>
        <v>41658</v>
      </c>
      <c r="F6" s="62">
        <f t="shared" si="0"/>
        <v>41665</v>
      </c>
      <c r="G6" s="56">
        <f t="shared" si="0"/>
        <v>41672</v>
      </c>
      <c r="H6" s="62">
        <f t="shared" si="0"/>
        <v>41679</v>
      </c>
      <c r="I6" s="56">
        <f t="shared" si="0"/>
        <v>41686</v>
      </c>
      <c r="J6" s="62">
        <f t="shared" si="0"/>
        <v>41693</v>
      </c>
      <c r="K6" s="56">
        <f t="shared" si="0"/>
        <v>41700</v>
      </c>
      <c r="L6" s="62">
        <f t="shared" si="0"/>
        <v>41707</v>
      </c>
      <c r="M6" s="56">
        <f t="shared" si="0"/>
        <v>41714</v>
      </c>
      <c r="N6" s="62">
        <f t="shared" si="0"/>
        <v>41721</v>
      </c>
      <c r="O6" s="56">
        <f t="shared" si="0"/>
        <v>41728</v>
      </c>
      <c r="P6" s="62">
        <f t="shared" si="0"/>
        <v>41735</v>
      </c>
      <c r="Q6" s="56">
        <f t="shared" si="0"/>
        <v>41742</v>
      </c>
      <c r="R6" s="62">
        <f t="shared" si="0"/>
        <v>41749</v>
      </c>
      <c r="S6" s="56">
        <f t="shared" si="0"/>
        <v>41756</v>
      </c>
      <c r="T6" s="62">
        <f t="shared" si="0"/>
        <v>41763</v>
      </c>
      <c r="U6" s="56">
        <f t="shared" si="0"/>
        <v>41770</v>
      </c>
      <c r="V6" s="62">
        <f t="shared" si="0"/>
        <v>41777</v>
      </c>
      <c r="W6" s="67" t="s">
        <v>19</v>
      </c>
      <c r="Y6" s="40"/>
    </row>
    <row r="7" spans="2:25" s="3" customFormat="1" ht="18" customHeight="1" thickBot="1" x14ac:dyDescent="0.25">
      <c r="B7" s="151"/>
      <c r="C7" s="61">
        <f>C6</f>
        <v>41644</v>
      </c>
      <c r="D7" s="63">
        <f>D6</f>
        <v>41651</v>
      </c>
      <c r="E7" s="61">
        <f t="shared" ref="E7:V7" si="1">E6</f>
        <v>41658</v>
      </c>
      <c r="F7" s="63">
        <f t="shared" si="1"/>
        <v>41665</v>
      </c>
      <c r="G7" s="61">
        <f t="shared" si="1"/>
        <v>41672</v>
      </c>
      <c r="H7" s="63">
        <f t="shared" si="1"/>
        <v>41679</v>
      </c>
      <c r="I7" s="61">
        <f t="shared" si="1"/>
        <v>41686</v>
      </c>
      <c r="J7" s="63">
        <f t="shared" si="1"/>
        <v>41693</v>
      </c>
      <c r="K7" s="61">
        <f t="shared" si="1"/>
        <v>41700</v>
      </c>
      <c r="L7" s="63">
        <f t="shared" si="1"/>
        <v>41707</v>
      </c>
      <c r="M7" s="61">
        <f t="shared" si="1"/>
        <v>41714</v>
      </c>
      <c r="N7" s="63">
        <f t="shared" si="1"/>
        <v>41721</v>
      </c>
      <c r="O7" s="61">
        <f t="shared" si="1"/>
        <v>41728</v>
      </c>
      <c r="P7" s="63">
        <f t="shared" si="1"/>
        <v>41735</v>
      </c>
      <c r="Q7" s="61">
        <f t="shared" si="1"/>
        <v>41742</v>
      </c>
      <c r="R7" s="63">
        <f t="shared" si="1"/>
        <v>41749</v>
      </c>
      <c r="S7" s="61">
        <f t="shared" si="1"/>
        <v>41756</v>
      </c>
      <c r="T7" s="63">
        <f t="shared" si="1"/>
        <v>41763</v>
      </c>
      <c r="U7" s="61">
        <f t="shared" si="1"/>
        <v>41770</v>
      </c>
      <c r="V7" s="63">
        <f t="shared" si="1"/>
        <v>41777</v>
      </c>
      <c r="W7" s="54"/>
      <c r="Y7" s="40"/>
    </row>
    <row r="8" spans="2:25" ht="21" customHeight="1" x14ac:dyDescent="0.3">
      <c r="B8" s="48" t="s">
        <v>22</v>
      </c>
      <c r="C8" s="72" t="s">
        <v>0</v>
      </c>
      <c r="D8" s="73"/>
      <c r="E8" s="73"/>
      <c r="F8" s="73"/>
      <c r="G8" s="73"/>
      <c r="H8" s="19"/>
      <c r="I8" s="34"/>
      <c r="J8" s="20"/>
      <c r="K8" s="6"/>
      <c r="L8" s="20"/>
      <c r="M8" s="6"/>
      <c r="N8" s="20"/>
      <c r="O8" s="6"/>
      <c r="P8" s="20"/>
      <c r="Q8" s="6"/>
      <c r="R8" s="20"/>
      <c r="S8" s="6"/>
      <c r="T8" s="20"/>
      <c r="U8" s="6"/>
      <c r="V8" s="155" t="s">
        <v>32</v>
      </c>
      <c r="W8" s="16"/>
      <c r="Y8" s="42"/>
    </row>
    <row r="9" spans="2:25" ht="21" customHeight="1" x14ac:dyDescent="0.3">
      <c r="B9" s="49" t="s">
        <v>23</v>
      </c>
      <c r="C9" s="7"/>
      <c r="D9" s="70" t="s">
        <v>1</v>
      </c>
      <c r="E9" s="74"/>
      <c r="F9" s="74"/>
      <c r="G9" s="7"/>
      <c r="H9" s="9"/>
      <c r="I9" s="35"/>
      <c r="J9" s="11"/>
      <c r="K9" s="8"/>
      <c r="L9" s="11"/>
      <c r="M9" s="8"/>
      <c r="N9" s="11"/>
      <c r="O9" s="8"/>
      <c r="P9" s="11"/>
      <c r="Q9" s="8"/>
      <c r="R9" s="11"/>
      <c r="S9" s="8"/>
      <c r="T9" s="11"/>
      <c r="U9" s="8"/>
      <c r="V9" s="156"/>
      <c r="W9" s="17"/>
      <c r="Y9" s="43"/>
    </row>
    <row r="10" spans="2:25" ht="21" customHeight="1" x14ac:dyDescent="0.3">
      <c r="B10" s="49"/>
      <c r="C10" s="7"/>
      <c r="D10" s="9"/>
      <c r="E10" s="70" t="s">
        <v>2</v>
      </c>
      <c r="F10" s="74"/>
      <c r="G10" s="74"/>
      <c r="H10" s="9"/>
      <c r="I10" s="36"/>
      <c r="J10" s="11"/>
      <c r="K10" s="8"/>
      <c r="L10" s="11"/>
      <c r="M10" s="8"/>
      <c r="N10" s="11"/>
      <c r="O10" s="8"/>
      <c r="P10" s="11"/>
      <c r="Q10" s="8"/>
      <c r="R10" s="11"/>
      <c r="S10" s="8"/>
      <c r="T10" s="11"/>
      <c r="U10" s="8"/>
      <c r="V10" s="156"/>
      <c r="W10" s="17"/>
      <c r="Y10" s="43"/>
    </row>
    <row r="11" spans="2:25" ht="21" customHeight="1" x14ac:dyDescent="0.3">
      <c r="B11" s="50" t="s">
        <v>22</v>
      </c>
      <c r="C11" s="7"/>
      <c r="D11" s="9"/>
      <c r="E11" s="7"/>
      <c r="F11" s="10" t="s">
        <v>3</v>
      </c>
      <c r="G11" s="12"/>
      <c r="H11" s="12"/>
      <c r="I11" s="24"/>
      <c r="J11" s="25"/>
      <c r="K11" s="8"/>
      <c r="L11" s="11"/>
      <c r="M11" s="8"/>
      <c r="N11" s="11"/>
      <c r="O11" s="8"/>
      <c r="P11" s="11"/>
      <c r="Q11" s="8"/>
      <c r="R11" s="11"/>
      <c r="S11" s="8"/>
      <c r="T11" s="11"/>
      <c r="U11" s="8"/>
      <c r="V11" s="156"/>
      <c r="W11" s="17"/>
      <c r="Y11" s="42"/>
    </row>
    <row r="12" spans="2:25" ht="21" customHeight="1" x14ac:dyDescent="0.3">
      <c r="B12" s="50" t="s">
        <v>24</v>
      </c>
      <c r="C12" s="7"/>
      <c r="D12" s="9"/>
      <c r="E12" s="7"/>
      <c r="F12" s="10" t="s">
        <v>4</v>
      </c>
      <c r="G12" s="12"/>
      <c r="H12" s="12"/>
      <c r="I12" s="24"/>
      <c r="J12" s="25"/>
      <c r="K12" s="8"/>
      <c r="L12" s="11"/>
      <c r="M12" s="8"/>
      <c r="N12" s="11"/>
      <c r="O12" s="8"/>
      <c r="P12" s="11"/>
      <c r="Q12" s="8"/>
      <c r="R12" s="11"/>
      <c r="S12" s="8"/>
      <c r="T12" s="11"/>
      <c r="U12" s="8"/>
      <c r="V12" s="156"/>
      <c r="W12" s="17"/>
      <c r="Y12" s="42"/>
    </row>
    <row r="13" spans="2:25" ht="21" customHeight="1" x14ac:dyDescent="0.3">
      <c r="B13" s="50"/>
      <c r="C13" s="7"/>
      <c r="D13" s="9"/>
      <c r="E13" s="7"/>
      <c r="F13" s="9"/>
      <c r="G13" s="10" t="s">
        <v>5</v>
      </c>
      <c r="H13" s="24"/>
      <c r="I13" s="24"/>
      <c r="J13" s="25"/>
      <c r="K13" s="8"/>
      <c r="L13" s="11"/>
      <c r="M13" s="8"/>
      <c r="N13" s="11"/>
      <c r="O13" s="8"/>
      <c r="P13" s="11"/>
      <c r="Q13" s="8"/>
      <c r="R13" s="11"/>
      <c r="S13" s="8"/>
      <c r="T13" s="11"/>
      <c r="U13" s="8"/>
      <c r="V13" s="156"/>
      <c r="W13" s="17"/>
      <c r="Y13" s="42"/>
    </row>
    <row r="14" spans="2:25" ht="21" customHeight="1" x14ac:dyDescent="0.3">
      <c r="B14" s="50"/>
      <c r="C14" s="7"/>
      <c r="D14" s="9"/>
      <c r="E14" s="7"/>
      <c r="F14" s="9"/>
      <c r="G14" s="10" t="s">
        <v>6</v>
      </c>
      <c r="H14" s="12"/>
      <c r="I14" s="24"/>
      <c r="J14" s="25"/>
      <c r="K14" s="8"/>
      <c r="L14" s="11"/>
      <c r="M14" s="8"/>
      <c r="N14" s="11"/>
      <c r="O14" s="8"/>
      <c r="P14" s="11"/>
      <c r="Q14" s="8"/>
      <c r="R14" s="11"/>
      <c r="S14" s="8"/>
      <c r="T14" s="11"/>
      <c r="U14" s="8"/>
      <c r="V14" s="156"/>
      <c r="W14" s="17"/>
      <c r="Y14" s="129">
        <v>-1</v>
      </c>
    </row>
    <row r="15" spans="2:25" ht="21" customHeight="1" x14ac:dyDescent="0.3">
      <c r="B15" s="50"/>
      <c r="C15" s="7"/>
      <c r="D15" s="9"/>
      <c r="E15" s="7"/>
      <c r="F15" s="9"/>
      <c r="G15" s="7"/>
      <c r="H15" s="9"/>
      <c r="I15" s="69" t="s">
        <v>7</v>
      </c>
      <c r="J15" s="25"/>
      <c r="K15" s="25"/>
      <c r="L15" s="25"/>
      <c r="M15" s="25"/>
      <c r="N15" s="25"/>
      <c r="O15" s="8"/>
      <c r="P15" s="11"/>
      <c r="Q15" s="8"/>
      <c r="R15" s="11"/>
      <c r="S15" s="8"/>
      <c r="T15" s="11"/>
      <c r="U15" s="8"/>
      <c r="V15" s="156"/>
      <c r="W15" s="17"/>
      <c r="Y15" s="42"/>
    </row>
    <row r="16" spans="2:25" ht="21" customHeight="1" x14ac:dyDescent="0.3">
      <c r="B16" s="50"/>
      <c r="C16" s="7"/>
      <c r="D16" s="9"/>
      <c r="E16" s="7"/>
      <c r="F16" s="9"/>
      <c r="G16" s="7"/>
      <c r="H16" s="9"/>
      <c r="I16" s="69" t="s">
        <v>8</v>
      </c>
      <c r="J16" s="25"/>
      <c r="K16" s="25"/>
      <c r="L16" s="25"/>
      <c r="M16" s="25"/>
      <c r="N16" s="25"/>
      <c r="O16" s="8"/>
      <c r="P16" s="11"/>
      <c r="Q16" s="8"/>
      <c r="R16" s="11"/>
      <c r="S16" s="8"/>
      <c r="T16" s="11"/>
      <c r="U16" s="8"/>
      <c r="V16" s="156"/>
      <c r="W16" s="17"/>
      <c r="Y16" s="42"/>
    </row>
    <row r="17" spans="2:25" ht="21" customHeight="1" x14ac:dyDescent="0.3">
      <c r="B17" s="49" t="s">
        <v>22</v>
      </c>
      <c r="C17" s="8"/>
      <c r="D17" s="11"/>
      <c r="E17" s="8"/>
      <c r="F17" s="11"/>
      <c r="G17" s="8"/>
      <c r="H17" s="11"/>
      <c r="I17" s="152" t="s">
        <v>17</v>
      </c>
      <c r="J17" s="68" t="s">
        <v>9</v>
      </c>
      <c r="K17" s="15"/>
      <c r="L17" s="15"/>
      <c r="M17" s="15"/>
      <c r="N17" s="15"/>
      <c r="O17" s="8"/>
      <c r="P17" s="11"/>
      <c r="Q17" s="8"/>
      <c r="R17" s="11"/>
      <c r="S17" s="8"/>
      <c r="T17" s="11"/>
      <c r="U17" s="8"/>
      <c r="V17" s="156"/>
      <c r="W17" s="17"/>
      <c r="Y17" s="42"/>
    </row>
    <row r="18" spans="2:25" ht="21" customHeight="1" x14ac:dyDescent="0.3">
      <c r="B18" s="49" t="s">
        <v>25</v>
      </c>
      <c r="C18" s="8"/>
      <c r="D18" s="11"/>
      <c r="E18" s="8"/>
      <c r="F18" s="11"/>
      <c r="G18" s="8"/>
      <c r="H18" s="11"/>
      <c r="I18" s="153"/>
      <c r="J18" s="68" t="s">
        <v>10</v>
      </c>
      <c r="K18" s="15"/>
      <c r="L18" s="15"/>
      <c r="M18" s="15"/>
      <c r="N18" s="15"/>
      <c r="O18" s="15"/>
      <c r="P18" s="11"/>
      <c r="Q18" s="8"/>
      <c r="R18" s="11"/>
      <c r="S18" s="8"/>
      <c r="T18" s="11"/>
      <c r="U18" s="8"/>
      <c r="V18" s="156"/>
      <c r="W18" s="17"/>
      <c r="Y18" s="42"/>
    </row>
    <row r="19" spans="2:25" ht="21" customHeight="1" x14ac:dyDescent="0.3">
      <c r="B19" s="49"/>
      <c r="C19" s="8"/>
      <c r="D19" s="11"/>
      <c r="E19" s="8"/>
      <c r="F19" s="11"/>
      <c r="G19" s="8"/>
      <c r="H19" s="11"/>
      <c r="I19" s="153"/>
      <c r="J19" s="11"/>
      <c r="K19" s="68" t="s">
        <v>11</v>
      </c>
      <c r="L19" s="15"/>
      <c r="M19" s="15"/>
      <c r="N19" s="15"/>
      <c r="O19" s="15"/>
      <c r="P19" s="11"/>
      <c r="Q19" s="8"/>
      <c r="R19" s="11"/>
      <c r="S19" s="8"/>
      <c r="T19" s="11"/>
      <c r="U19" s="8"/>
      <c r="V19" s="156"/>
      <c r="W19" s="17"/>
      <c r="Y19" s="42"/>
    </row>
    <row r="20" spans="2:25" ht="21" customHeight="1" x14ac:dyDescent="0.3">
      <c r="B20" s="51"/>
      <c r="C20" s="8"/>
      <c r="D20" s="11"/>
      <c r="E20" s="8"/>
      <c r="F20" s="11"/>
      <c r="G20" s="8"/>
      <c r="H20" s="11"/>
      <c r="I20" s="153"/>
      <c r="J20" s="68" t="s">
        <v>12</v>
      </c>
      <c r="K20" s="15"/>
      <c r="L20" s="15"/>
      <c r="M20" s="15"/>
      <c r="N20" s="15"/>
      <c r="O20" s="15"/>
      <c r="P20" s="11"/>
      <c r="Q20" s="8"/>
      <c r="R20" s="11"/>
      <c r="S20" s="8"/>
      <c r="T20" s="11"/>
      <c r="U20" s="8"/>
      <c r="V20" s="156"/>
      <c r="W20" s="17"/>
      <c r="Y20" s="42"/>
    </row>
    <row r="21" spans="2:25" ht="21" customHeight="1" x14ac:dyDescent="0.3">
      <c r="B21" s="51"/>
      <c r="C21" s="8"/>
      <c r="D21" s="11"/>
      <c r="E21" s="8"/>
      <c r="F21" s="11"/>
      <c r="G21" s="8"/>
      <c r="H21" s="11"/>
      <c r="I21" s="153"/>
      <c r="J21" s="11"/>
      <c r="K21" s="8"/>
      <c r="L21" s="11"/>
      <c r="M21" s="68" t="s">
        <v>13</v>
      </c>
      <c r="N21" s="15"/>
      <c r="O21" s="15"/>
      <c r="P21" s="15"/>
      <c r="Q21" s="15"/>
      <c r="R21" s="15"/>
      <c r="S21" s="8"/>
      <c r="T21" s="11"/>
      <c r="U21" s="8"/>
      <c r="V21" s="156"/>
      <c r="W21" s="17"/>
      <c r="Y21" s="42"/>
    </row>
    <row r="22" spans="2:25" ht="21" customHeight="1" x14ac:dyDescent="0.2">
      <c r="B22" s="51"/>
      <c r="C22" s="8"/>
      <c r="D22" s="11"/>
      <c r="E22" s="8"/>
      <c r="F22" s="11"/>
      <c r="G22" s="8"/>
      <c r="H22" s="11"/>
      <c r="I22" s="153"/>
      <c r="J22" s="11"/>
      <c r="K22" s="8"/>
      <c r="L22" s="11"/>
      <c r="M22" s="68" t="s">
        <v>14</v>
      </c>
      <c r="N22" s="15"/>
      <c r="O22" s="15"/>
      <c r="P22" s="15"/>
      <c r="Q22" s="8"/>
      <c r="R22" s="11"/>
      <c r="S22" s="8"/>
      <c r="T22" s="11"/>
      <c r="U22" s="8"/>
      <c r="V22" s="156"/>
      <c r="W22" s="17"/>
    </row>
    <row r="23" spans="2:25" ht="21" customHeight="1" x14ac:dyDescent="0.2">
      <c r="B23" s="51"/>
      <c r="C23" s="8"/>
      <c r="D23" s="11"/>
      <c r="E23" s="8"/>
      <c r="F23" s="11"/>
      <c r="G23" s="8"/>
      <c r="H23" s="11"/>
      <c r="I23" s="153"/>
      <c r="J23" s="11"/>
      <c r="K23" s="8"/>
      <c r="L23" s="11"/>
      <c r="M23" s="8"/>
      <c r="N23" s="68" t="s">
        <v>15</v>
      </c>
      <c r="O23" s="15"/>
      <c r="P23" s="15"/>
      <c r="Q23" s="15"/>
      <c r="R23" s="15"/>
      <c r="S23" s="15"/>
      <c r="T23" s="15"/>
      <c r="U23" s="15"/>
      <c r="V23" s="156"/>
      <c r="W23" s="17"/>
    </row>
    <row r="24" spans="2:25" ht="21" customHeight="1" x14ac:dyDescent="0.2">
      <c r="B24" s="51"/>
      <c r="C24" s="8"/>
      <c r="D24" s="11"/>
      <c r="E24" s="8"/>
      <c r="F24" s="11"/>
      <c r="G24" s="8"/>
      <c r="H24" s="11"/>
      <c r="I24" s="153"/>
      <c r="J24" s="11"/>
      <c r="K24" s="8"/>
      <c r="L24" s="11"/>
      <c r="M24" s="8"/>
      <c r="N24" s="11"/>
      <c r="O24" s="68" t="s">
        <v>16</v>
      </c>
      <c r="P24" s="15"/>
      <c r="Q24" s="15"/>
      <c r="R24" s="15"/>
      <c r="S24" s="15"/>
      <c r="T24" s="11"/>
      <c r="U24" s="8"/>
      <c r="V24" s="156"/>
      <c r="W24" s="17"/>
    </row>
    <row r="25" spans="2:25" ht="21" customHeight="1" thickBot="1" x14ac:dyDescent="0.25">
      <c r="B25" s="52"/>
      <c r="C25" s="14"/>
      <c r="D25" s="13"/>
      <c r="E25" s="14"/>
      <c r="F25" s="13"/>
      <c r="G25" s="14"/>
      <c r="H25" s="13"/>
      <c r="I25" s="154"/>
      <c r="J25" s="13"/>
      <c r="K25" s="14"/>
      <c r="L25" s="13"/>
      <c r="M25" s="14"/>
      <c r="N25" s="13"/>
      <c r="O25" s="14"/>
      <c r="P25" s="13"/>
      <c r="Q25" s="71" t="s">
        <v>8</v>
      </c>
      <c r="R25" s="71"/>
      <c r="S25" s="71"/>
      <c r="T25" s="71"/>
      <c r="U25" s="71"/>
      <c r="V25" s="157"/>
      <c r="W25" s="18"/>
    </row>
    <row r="26" spans="2:25" ht="21" customHeight="1" x14ac:dyDescent="0.2"/>
    <row r="27" spans="2:25" ht="21" customHeight="1" x14ac:dyDescent="0.2"/>
    <row r="28" spans="2:25" ht="21" customHeight="1" x14ac:dyDescent="0.2"/>
    <row r="29" spans="2:25" ht="21" customHeight="1" x14ac:dyDescent="0.2"/>
    <row r="30" spans="2:25" ht="21" customHeight="1" x14ac:dyDescent="0.2"/>
    <row r="31" spans="2:25" ht="21" customHeight="1" x14ac:dyDescent="0.2"/>
    <row r="32" spans="2:25" ht="21" customHeight="1" x14ac:dyDescent="0.2"/>
  </sheetData>
  <mergeCells count="4">
    <mergeCell ref="B6:B7"/>
    <mergeCell ref="E3:H3"/>
    <mergeCell ref="I17:I25"/>
    <mergeCell ref="V8:V25"/>
  </mergeCells>
  <hyperlinks>
    <hyperlink ref="Y5" r:id="rId1"/>
  </hyperlinks>
  <printOptions horizontalCentered="1"/>
  <pageMargins left="0.35" right="0.35" top="0.35" bottom="0.35" header="0.25" footer="0.25"/>
  <pageSetup fitToHeight="0" orientation="landscape" r:id="rId2"/>
  <headerFooter>
    <oddFooter>&amp;L&amp;8&amp;K01+049Project Schedule Template © 2014 Vertex42 LLC&amp;R&amp;8&amp;K01+049http://www.vertex42.com/ExcelTemplates/project-schedule-template.html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D20"/>
  <sheetViews>
    <sheetView showGridLines="0" topLeftCell="A4" zoomScale="70" zoomScaleNormal="70" workbookViewId="0">
      <selection activeCell="G32" sqref="G32"/>
    </sheetView>
  </sheetViews>
  <sheetFormatPr defaultColWidth="3.85546875" defaultRowHeight="14.25" x14ac:dyDescent="0.2"/>
  <cols>
    <col min="1" max="1" width="3.5703125" style="1" customWidth="1"/>
    <col min="2" max="54" width="18.7109375" style="1" customWidth="1"/>
    <col min="55" max="55" width="23.140625" style="1" customWidth="1"/>
    <col min="56" max="16384" width="3.85546875" style="1"/>
  </cols>
  <sheetData>
    <row r="1" spans="1:56" ht="104.25" customHeight="1" x14ac:dyDescent="0.2">
      <c r="B1" s="123"/>
      <c r="C1" s="123"/>
      <c r="D1" s="123"/>
      <c r="E1" s="123"/>
      <c r="F1" s="123"/>
      <c r="G1" s="125" t="s">
        <v>20</v>
      </c>
      <c r="H1" s="123"/>
    </row>
    <row r="2" spans="1:56" ht="33.75" customHeight="1" x14ac:dyDescent="0.35">
      <c r="B2" s="126" t="s">
        <v>38</v>
      </c>
      <c r="C2" s="123"/>
      <c r="D2" s="123"/>
      <c r="E2" s="123"/>
      <c r="F2" s="123"/>
      <c r="G2" s="124"/>
      <c r="H2" s="127"/>
      <c r="BC2" s="33"/>
      <c r="BD2" s="4"/>
    </row>
    <row r="3" spans="1:56" ht="20.25" customHeight="1" x14ac:dyDescent="0.2">
      <c r="B3" s="128" t="s">
        <v>39</v>
      </c>
      <c r="C3" s="123"/>
      <c r="D3" s="123"/>
      <c r="E3" s="123"/>
      <c r="F3" s="123"/>
      <c r="G3" s="123"/>
      <c r="H3" s="123"/>
      <c r="BC3" s="33"/>
      <c r="BD3" s="4"/>
    </row>
    <row r="4" spans="1:56" ht="20.25" customHeight="1" x14ac:dyDescent="0.2">
      <c r="B4" s="84"/>
      <c r="BC4" s="33"/>
      <c r="BD4" s="4"/>
    </row>
    <row r="5" spans="1:56" ht="20.25" customHeight="1" x14ac:dyDescent="0.2">
      <c r="B5" s="144" t="s">
        <v>43</v>
      </c>
      <c r="C5" s="145"/>
      <c r="D5" s="146"/>
      <c r="BC5" s="33"/>
      <c r="BD5" s="4"/>
    </row>
    <row r="6" spans="1:56" ht="20.25" customHeight="1" x14ac:dyDescent="0.2">
      <c r="B6" s="144" t="s">
        <v>44</v>
      </c>
      <c r="C6" s="145"/>
      <c r="D6" s="146"/>
      <c r="BC6" s="33"/>
      <c r="BD6" s="4"/>
    </row>
    <row r="7" spans="1:56" ht="20.25" customHeight="1" x14ac:dyDescent="0.2">
      <c r="B7" s="144"/>
      <c r="C7" s="145"/>
      <c r="D7" s="146"/>
      <c r="BC7" s="33"/>
      <c r="BD7" s="4"/>
    </row>
    <row r="8" spans="1:56" ht="20.25" customHeight="1" x14ac:dyDescent="0.2">
      <c r="B8" s="144"/>
      <c r="C8" s="145"/>
      <c r="D8" s="146"/>
      <c r="BC8" s="33"/>
      <c r="BD8" s="4"/>
    </row>
    <row r="9" spans="1:56" ht="20.25" customHeight="1" x14ac:dyDescent="0.2">
      <c r="B9" s="144"/>
      <c r="C9" s="145"/>
      <c r="D9" s="146"/>
      <c r="BC9" s="33"/>
      <c r="BD9" s="4"/>
    </row>
    <row r="10" spans="1:56" ht="13.5" customHeight="1" x14ac:dyDescent="0.25">
      <c r="B10" s="30"/>
      <c r="K10" s="79"/>
    </row>
    <row r="11" spans="1:56" ht="21" customHeight="1" x14ac:dyDescent="0.2">
      <c r="B11" s="138" t="s">
        <v>21</v>
      </c>
      <c r="C11" s="139"/>
      <c r="D11" s="140"/>
      <c r="J11" s="80"/>
      <c r="K11" s="79"/>
      <c r="M11" s="81"/>
    </row>
    <row r="12" spans="1:56" ht="21" customHeight="1" x14ac:dyDescent="0.2">
      <c r="B12" s="141">
        <v>41856</v>
      </c>
      <c r="C12" s="142"/>
      <c r="D12" s="143"/>
      <c r="E12" s="121"/>
      <c r="F12" s="120"/>
      <c r="G12" s="120"/>
      <c r="H12" s="120"/>
      <c r="J12" s="80"/>
      <c r="K12" s="79"/>
      <c r="M12" s="81"/>
    </row>
    <row r="13" spans="1:56" x14ac:dyDescent="0.2">
      <c r="BC13" s="5"/>
      <c r="BD13" s="4"/>
    </row>
    <row r="14" spans="1:56" s="113" customFormat="1" ht="18" customHeight="1" x14ac:dyDescent="0.2">
      <c r="A14" s="130"/>
      <c r="B14" s="117" t="s">
        <v>18</v>
      </c>
      <c r="C14" s="118">
        <v>1</v>
      </c>
      <c r="D14" s="118">
        <v>2</v>
      </c>
      <c r="E14" s="118">
        <v>3</v>
      </c>
      <c r="F14" s="118">
        <v>4</v>
      </c>
      <c r="G14" s="118">
        <v>5</v>
      </c>
      <c r="H14" s="118">
        <v>6</v>
      </c>
      <c r="I14" s="118">
        <v>7</v>
      </c>
      <c r="J14" s="118">
        <v>8</v>
      </c>
      <c r="K14" s="118">
        <v>9</v>
      </c>
      <c r="L14" s="118">
        <v>10</v>
      </c>
      <c r="M14" s="118">
        <v>11</v>
      </c>
      <c r="N14" s="118">
        <v>12</v>
      </c>
      <c r="O14" s="118">
        <v>13</v>
      </c>
      <c r="P14" s="118">
        <v>14</v>
      </c>
      <c r="Q14" s="118">
        <v>15</v>
      </c>
      <c r="R14" s="118">
        <v>16</v>
      </c>
      <c r="S14" s="118">
        <v>17</v>
      </c>
      <c r="T14" s="118">
        <v>18</v>
      </c>
      <c r="U14" s="118">
        <v>19</v>
      </c>
      <c r="V14" s="118">
        <v>20</v>
      </c>
      <c r="W14" s="118">
        <v>21</v>
      </c>
      <c r="X14" s="118">
        <v>22</v>
      </c>
      <c r="Y14" s="118">
        <v>23</v>
      </c>
      <c r="Z14" s="118">
        <v>24</v>
      </c>
      <c r="AA14" s="118">
        <v>25</v>
      </c>
      <c r="AB14" s="118">
        <v>26</v>
      </c>
      <c r="AC14" s="118">
        <v>27</v>
      </c>
      <c r="AD14" s="118">
        <v>28</v>
      </c>
      <c r="AE14" s="118">
        <v>29</v>
      </c>
      <c r="AF14" s="118">
        <v>30</v>
      </c>
      <c r="AG14" s="118">
        <v>31</v>
      </c>
      <c r="AH14" s="118">
        <v>32</v>
      </c>
      <c r="AI14" s="118">
        <v>33</v>
      </c>
      <c r="AJ14" s="118">
        <v>34</v>
      </c>
      <c r="AK14" s="118">
        <v>35</v>
      </c>
      <c r="AL14" s="118">
        <v>36</v>
      </c>
      <c r="AM14" s="118">
        <v>37</v>
      </c>
      <c r="AN14" s="118">
        <v>38</v>
      </c>
      <c r="AO14" s="118">
        <v>39</v>
      </c>
      <c r="AP14" s="118">
        <v>40</v>
      </c>
      <c r="AQ14" s="118">
        <v>41</v>
      </c>
      <c r="AR14" s="118">
        <v>42</v>
      </c>
      <c r="AS14" s="118">
        <v>43</v>
      </c>
      <c r="AT14" s="118">
        <v>44</v>
      </c>
      <c r="AU14" s="118">
        <v>45</v>
      </c>
      <c r="AV14" s="118">
        <v>46</v>
      </c>
      <c r="AW14" s="118">
        <v>47</v>
      </c>
      <c r="AX14" s="118">
        <v>48</v>
      </c>
      <c r="AY14" s="118">
        <v>49</v>
      </c>
      <c r="AZ14" s="118">
        <v>50</v>
      </c>
      <c r="BA14" s="118">
        <v>51</v>
      </c>
      <c r="BB14" s="118">
        <v>52</v>
      </c>
      <c r="BC14" s="133" t="s">
        <v>19</v>
      </c>
    </row>
    <row r="15" spans="1:56" s="2" customFormat="1" ht="18" customHeight="1" x14ac:dyDescent="0.2">
      <c r="B15" s="115" t="s">
        <v>30</v>
      </c>
      <c r="C15" s="119" t="str">
        <f>TEXT(B12,"MMM")&amp;" "&amp;TEXT(B12,"D")</f>
        <v>Aug 5</v>
      </c>
      <c r="D15" s="116" t="str">
        <f>TEXT(B12+7,"MMM")&amp;" "&amp;TEXT(B12+7,"D")</f>
        <v>Aug 12</v>
      </c>
      <c r="E15" s="119" t="str">
        <f>TEXT(B12+14,"MMM")&amp;" "&amp;TEXT(B12+14,"D")</f>
        <v>Aug 19</v>
      </c>
      <c r="F15" s="116" t="str">
        <f>TEXT(B12+21,"MMM")&amp;" "&amp;TEXT(B12+21,"D")</f>
        <v>Aug 26</v>
      </c>
      <c r="G15" s="119" t="str">
        <f>TEXT(B12+28,"MMM")&amp;" "&amp;TEXT(B12+28,"D")</f>
        <v>Sep 2</v>
      </c>
      <c r="H15" s="116" t="str">
        <f>TEXT(B12+35,"MMM")&amp;" "&amp;TEXT(B12+35,"D")</f>
        <v>Sep 9</v>
      </c>
      <c r="I15" s="119" t="str">
        <f>TEXT(B12+42,"MMM")&amp;" "&amp;TEXT(B12+42,"D")</f>
        <v>Sep 16</v>
      </c>
      <c r="J15" s="116" t="str">
        <f>TEXT(B12+49,"MMM")&amp;" "&amp;TEXT(B12+49,"D")</f>
        <v>Sep 23</v>
      </c>
      <c r="K15" s="119" t="str">
        <f>TEXT(B12+56,"MMM")&amp;" "&amp;TEXT(B12+56,"D")</f>
        <v>Sep 30</v>
      </c>
      <c r="L15" s="116" t="str">
        <f>TEXT(B12+63,"MMM")&amp;" "&amp;TEXT(B12+63,"D")</f>
        <v>Oct 7</v>
      </c>
      <c r="M15" s="119" t="str">
        <f>TEXT(B12+70,"MMM")&amp;" "&amp;TEXT(B12+70,"D")</f>
        <v>Oct 14</v>
      </c>
      <c r="N15" s="116" t="str">
        <f>TEXT(B12+77,"MMM")&amp;" "&amp;TEXT(B12+77,"D")</f>
        <v>Oct 21</v>
      </c>
      <c r="O15" s="119" t="str">
        <f>TEXT(B12+84,"MMM")&amp;" "&amp;TEXT(B12+84,"D")</f>
        <v>Oct 28</v>
      </c>
      <c r="P15" s="116" t="str">
        <f>TEXT(B12+91,"MMM")&amp;" "&amp;TEXT(B12+91,"D")</f>
        <v>Nov 4</v>
      </c>
      <c r="Q15" s="119" t="str">
        <f>TEXT(B12+98,"MMM")&amp;" "&amp;TEXT(B12+98,"D")</f>
        <v>Nov 11</v>
      </c>
      <c r="R15" s="122" t="str">
        <f>TEXT(B12+105,"MMM")&amp;" "&amp;TEXT(B12+105,"D")</f>
        <v>Nov 18</v>
      </c>
      <c r="S15" s="119" t="str">
        <f>TEXT(B12+112,"MMM")&amp;" "&amp;TEXT(B12+112,"D")</f>
        <v>Nov 25</v>
      </c>
      <c r="T15" s="122" t="str">
        <f>TEXT(B12+119,"MMM")&amp;" "&amp;TEXT(B12+119,"D")</f>
        <v>Dec 2</v>
      </c>
      <c r="U15" s="119" t="str">
        <f>TEXT(B12+126,"MMM")&amp;" "&amp;TEXT(B12+126,"D")</f>
        <v>Dec 9</v>
      </c>
      <c r="V15" s="122" t="str">
        <f>TEXT(B12+133,"MMM")&amp;" "&amp;TEXT(B12+133,"D")</f>
        <v>Dec 16</v>
      </c>
      <c r="W15" s="119" t="str">
        <f>TEXT(B12+140,"MMM")&amp;" "&amp;TEXT(B12+140,"D")</f>
        <v>Dec 23</v>
      </c>
      <c r="X15" s="122" t="str">
        <f>TEXT(B12+147,"MMM")&amp;" "&amp;TEXT(B12+147,"D")</f>
        <v>Dec 30</v>
      </c>
      <c r="Y15" s="119" t="str">
        <f>TEXT(B12+154,"MMM")&amp;" "&amp;TEXT(B12+154,"D")</f>
        <v>Jan 6</v>
      </c>
      <c r="Z15" s="122" t="str">
        <f>TEXT(B12+161,"MMM")&amp;" "&amp;TEXT(B12+161,"D")</f>
        <v>Jan 13</v>
      </c>
      <c r="AA15" s="119" t="str">
        <f>TEXT(B12+168,"MMM")&amp;" "&amp;TEXT(B12+168,"D")</f>
        <v>Jan 20</v>
      </c>
      <c r="AB15" s="122" t="str">
        <f>TEXT(B12+175,"MMM")&amp;" "&amp;TEXT(B12+175,"D")</f>
        <v>Jan 27</v>
      </c>
      <c r="AC15" s="119" t="str">
        <f>TEXT(B12+182,"MMM")&amp;" "&amp;TEXT(B12+182,"D")</f>
        <v>Feb 3</v>
      </c>
      <c r="AD15" s="122" t="str">
        <f>TEXT(B12+189,"MMM")&amp;" "&amp;TEXT(B12+189,"D")</f>
        <v>Feb 10</v>
      </c>
      <c r="AE15" s="119" t="str">
        <f>TEXT(B12+196,"MMM")&amp;" "&amp;TEXT(B12+196,"D")</f>
        <v>Feb 17</v>
      </c>
      <c r="AF15" s="122" t="str">
        <f>TEXT(B12+203,"MMM")&amp;" "&amp;TEXT(B12+203,"D")</f>
        <v>Feb 24</v>
      </c>
      <c r="AG15" s="119" t="str">
        <f>TEXT(B12+210,"MMM")&amp;" "&amp;TEXT(B12+210,"D")</f>
        <v>Mar 3</v>
      </c>
      <c r="AH15" s="122" t="str">
        <f>TEXT(B12+217,"MMM")&amp;" "&amp;TEXT(B12+217,"D")</f>
        <v>Mar 10</v>
      </c>
      <c r="AI15" s="119" t="str">
        <f>TEXT(B12+224,"MMM")&amp;" "&amp;TEXT(B12+224,"D")</f>
        <v>Mar 17</v>
      </c>
      <c r="AJ15" s="122" t="str">
        <f>TEXT(B12+231,"MMM")&amp;" "&amp;TEXT(B12+231,"D")</f>
        <v>Mar 24</v>
      </c>
      <c r="AK15" s="119" t="str">
        <f>TEXT(B12+238,"MMM")&amp;" "&amp;TEXT(B12+238,"D")</f>
        <v>Mar 31</v>
      </c>
      <c r="AL15" s="122" t="str">
        <f>TEXT(B12+245,"MMM")&amp;" "&amp;TEXT(B12+245,"D")</f>
        <v>Apr 7</v>
      </c>
      <c r="AM15" s="119" t="str">
        <f>TEXT(B12+252,"MMM")&amp;" "&amp;TEXT(B12+252,"D")</f>
        <v>Apr 14</v>
      </c>
      <c r="AN15" s="122" t="str">
        <f>TEXT(B12+259,"MMM")&amp;" "&amp;TEXT(B12+259,"D")</f>
        <v>Apr 21</v>
      </c>
      <c r="AO15" s="119" t="str">
        <f>TEXT(B12+266,"MMM")&amp;" "&amp;TEXT(B12+266,"D")</f>
        <v>Apr 28</v>
      </c>
      <c r="AP15" s="122" t="str">
        <f>TEXT(B12+273,"MMM")&amp;" "&amp;TEXT(B12+273,"D")</f>
        <v>May 5</v>
      </c>
      <c r="AQ15" s="119" t="str">
        <f>TEXT(B12+280,"MMM")&amp;" "&amp;TEXT(B12+280,"D")</f>
        <v>May 12</v>
      </c>
      <c r="AR15" s="122" t="str">
        <f>TEXT(B12+287,"MMM")&amp;" "&amp;TEXT(B12+287,"D")</f>
        <v>May 19</v>
      </c>
      <c r="AS15" s="119" t="str">
        <f>TEXT(B12+294,"MMM")&amp;" "&amp;TEXT(B12+294,"D")</f>
        <v>May 26</v>
      </c>
      <c r="AT15" s="122" t="str">
        <f>TEXT(B12+301,"MMM")&amp;" "&amp;TEXT(B12+301,"D")</f>
        <v>Jun 2</v>
      </c>
      <c r="AU15" s="119" t="str">
        <f>TEXT(B12+308,"MMM")&amp;" "&amp;TEXT(B12+308,"D")</f>
        <v>Jun 9</v>
      </c>
      <c r="AV15" s="122" t="str">
        <f>TEXT(B12+315,"MMM")&amp;" "&amp;TEXT(B12+315,"D")</f>
        <v>Jun 16</v>
      </c>
      <c r="AW15" s="119" t="str">
        <f>TEXT(B12+322,"MMM")&amp;" "&amp;TEXT(B12+322,"D")</f>
        <v>Jun 23</v>
      </c>
      <c r="AX15" s="122" t="str">
        <f>TEXT(B12+329,"MMM")&amp;" "&amp;TEXT(B12+329,"D")</f>
        <v>Jun 30</v>
      </c>
      <c r="AY15" s="119" t="str">
        <f>TEXT(B12+336,"MMM")&amp;" "&amp;TEXT(B12+336,"D")</f>
        <v>Jul 7</v>
      </c>
      <c r="AZ15" s="122" t="str">
        <f>TEXT(B12+343,"MMM")&amp;" "&amp;TEXT(B12+343,"D")</f>
        <v>Jul 14</v>
      </c>
      <c r="BA15" s="119" t="str">
        <f>TEXT(B12+350,"MMM")&amp;" "&amp;TEXT(B12+350,"D")</f>
        <v>Jul 21</v>
      </c>
      <c r="BB15" s="122" t="str">
        <f>TEXT(B12+357,"MMM")&amp;" "&amp;TEXT(B12+357,"D")</f>
        <v>Jul 28</v>
      </c>
      <c r="BC15" s="134"/>
    </row>
    <row r="16" spans="1:56" ht="36.75" customHeight="1" x14ac:dyDescent="0.2">
      <c r="B16" s="102" t="s">
        <v>35</v>
      </c>
      <c r="C16" s="85"/>
      <c r="D16" s="135" t="s">
        <v>42</v>
      </c>
      <c r="E16" s="136"/>
      <c r="F16" s="136"/>
      <c r="G16" s="136"/>
      <c r="H16" s="136"/>
      <c r="I16" s="137"/>
      <c r="J16" s="86"/>
      <c r="K16" s="87"/>
      <c r="L16" s="86"/>
      <c r="M16" s="87"/>
      <c r="N16" s="83" t="s">
        <v>34</v>
      </c>
      <c r="O16" s="82"/>
      <c r="P16" s="83"/>
      <c r="Q16" s="87" t="s">
        <v>34</v>
      </c>
      <c r="R16" s="86"/>
      <c r="S16" s="87"/>
      <c r="T16" s="86"/>
      <c r="U16" s="87"/>
      <c r="V16" s="86"/>
      <c r="W16" s="88"/>
      <c r="X16" s="86"/>
      <c r="Y16" s="88"/>
      <c r="Z16" s="86"/>
      <c r="AA16" s="88"/>
      <c r="AB16" s="86"/>
      <c r="AC16" s="88"/>
      <c r="AD16" s="86"/>
      <c r="AE16" s="88"/>
      <c r="AF16" s="86"/>
      <c r="AG16" s="88"/>
      <c r="AH16" s="86"/>
      <c r="AI16" s="88"/>
      <c r="AJ16" s="86"/>
      <c r="AK16" s="88"/>
      <c r="AL16" s="86"/>
      <c r="AM16" s="88"/>
      <c r="AN16" s="86"/>
      <c r="AO16" s="88"/>
      <c r="AP16" s="86"/>
      <c r="AQ16" s="88"/>
      <c r="AR16" s="86"/>
      <c r="AS16" s="88"/>
      <c r="AT16" s="86"/>
      <c r="AU16" s="88"/>
      <c r="AV16" s="86"/>
      <c r="AW16" s="88"/>
      <c r="AX16" s="86"/>
      <c r="AY16" s="88"/>
      <c r="AZ16" s="86"/>
      <c r="BA16" s="88"/>
      <c r="BB16" s="86"/>
      <c r="BC16" s="89"/>
    </row>
    <row r="17" spans="2:55" ht="21" customHeight="1" x14ac:dyDescent="0.2">
      <c r="B17" s="103" t="s">
        <v>36</v>
      </c>
      <c r="C17" s="100"/>
      <c r="D17" s="86"/>
      <c r="E17" s="87"/>
      <c r="F17" s="86"/>
      <c r="G17" s="87"/>
      <c r="H17" s="86"/>
      <c r="I17" s="87"/>
      <c r="J17" s="86"/>
      <c r="K17" s="87"/>
      <c r="L17" s="86"/>
      <c r="M17" s="87"/>
      <c r="N17" s="86"/>
      <c r="O17" s="87"/>
      <c r="P17" s="86"/>
      <c r="Q17" s="87"/>
      <c r="R17" s="86"/>
      <c r="S17" s="87" t="s">
        <v>34</v>
      </c>
      <c r="T17" s="86"/>
      <c r="U17" s="87"/>
      <c r="V17" s="86"/>
      <c r="W17" s="88"/>
      <c r="X17" s="86"/>
      <c r="Y17" s="88"/>
      <c r="Z17" s="86"/>
      <c r="AA17" s="88"/>
      <c r="AB17" s="86"/>
      <c r="AC17" s="88"/>
      <c r="AD17" s="86"/>
      <c r="AE17" s="88" t="s">
        <v>45</v>
      </c>
      <c r="AF17" s="86"/>
      <c r="AG17" s="88"/>
      <c r="AH17" s="86"/>
      <c r="AI17" s="88"/>
      <c r="AJ17" s="86"/>
      <c r="AK17" s="88"/>
      <c r="AL17" s="86"/>
      <c r="AM17" s="88"/>
      <c r="AN17" s="86"/>
      <c r="AO17" s="88"/>
      <c r="AP17" s="86"/>
      <c r="AQ17" s="88"/>
      <c r="AR17" s="86"/>
      <c r="AS17" s="88"/>
      <c r="AT17" s="86"/>
      <c r="AU17" s="88"/>
      <c r="AV17" s="86"/>
      <c r="AW17" s="88"/>
      <c r="AX17" s="86"/>
      <c r="AY17" s="88"/>
      <c r="AZ17" s="86"/>
      <c r="BA17" s="88"/>
      <c r="BB17" s="101"/>
      <c r="BC17" s="89"/>
    </row>
    <row r="18" spans="2:55" ht="21" customHeight="1" x14ac:dyDescent="0.2">
      <c r="B18" s="104" t="s">
        <v>37</v>
      </c>
      <c r="C18" s="95"/>
      <c r="D18" s="96"/>
      <c r="E18" s="97"/>
      <c r="F18" s="96"/>
      <c r="G18" s="97"/>
      <c r="H18" s="96"/>
      <c r="I18" s="97"/>
      <c r="J18" s="96"/>
      <c r="K18" s="97"/>
      <c r="L18" s="96"/>
      <c r="M18" s="97"/>
      <c r="N18" s="96"/>
      <c r="O18" s="97"/>
      <c r="P18" s="96"/>
      <c r="Q18" s="97"/>
      <c r="R18" s="96"/>
      <c r="S18" s="97"/>
      <c r="T18" s="96"/>
      <c r="U18" s="97"/>
      <c r="V18" s="96"/>
      <c r="W18" s="98"/>
      <c r="X18" s="96"/>
      <c r="Y18" s="98"/>
      <c r="Z18" s="96"/>
      <c r="AA18" s="98"/>
      <c r="AB18" s="96"/>
      <c r="AC18" s="98"/>
      <c r="AD18" s="96"/>
      <c r="AE18" s="98"/>
      <c r="AF18" s="96"/>
      <c r="AG18" s="88" t="s">
        <v>45</v>
      </c>
      <c r="AH18" s="96"/>
      <c r="AI18" s="98"/>
      <c r="AJ18" s="96"/>
      <c r="AK18" s="98"/>
      <c r="AL18" s="96"/>
      <c r="AM18" s="98"/>
      <c r="AN18" s="96"/>
      <c r="AO18" s="98"/>
      <c r="AP18" s="96"/>
      <c r="AQ18" s="98"/>
      <c r="AR18" s="96"/>
      <c r="AS18" s="98"/>
      <c r="AT18" s="96"/>
      <c r="AU18" s="98"/>
      <c r="AV18" s="96"/>
      <c r="AW18" s="98"/>
      <c r="AX18" s="96"/>
      <c r="AY18" s="98"/>
      <c r="AZ18" s="96"/>
      <c r="BA18" s="98"/>
      <c r="BB18" s="99"/>
      <c r="BC18" s="89"/>
    </row>
    <row r="19" spans="2:55" ht="21" customHeight="1" x14ac:dyDescent="0.2">
      <c r="B19" s="105" t="s">
        <v>40</v>
      </c>
      <c r="C19" s="90"/>
      <c r="D19" s="91"/>
      <c r="E19" s="92"/>
      <c r="F19" s="91"/>
      <c r="G19" s="92"/>
      <c r="H19" s="91"/>
      <c r="I19" s="92"/>
      <c r="J19" s="91"/>
      <c r="K19" s="92"/>
      <c r="L19" s="91"/>
      <c r="M19" s="92"/>
      <c r="N19" s="91"/>
      <c r="O19" s="92"/>
      <c r="P19" s="91"/>
      <c r="Q19" s="92"/>
      <c r="R19" s="91"/>
      <c r="S19" s="92"/>
      <c r="T19" s="91"/>
      <c r="U19" s="92"/>
      <c r="V19" s="91"/>
      <c r="W19" s="93"/>
      <c r="X19" s="91"/>
      <c r="Y19" s="93"/>
      <c r="Z19" s="91"/>
      <c r="AA19" s="93"/>
      <c r="AB19" s="91"/>
      <c r="AC19" s="93"/>
      <c r="AD19" s="91"/>
      <c r="AE19" s="93"/>
      <c r="AF19" s="91"/>
      <c r="AG19" s="93"/>
      <c r="AH19" s="91"/>
      <c r="AI19" s="93"/>
      <c r="AJ19" s="91"/>
      <c r="AK19" s="93"/>
      <c r="AL19" s="91"/>
      <c r="AM19" s="93"/>
      <c r="AN19" s="91"/>
      <c r="AO19" s="93"/>
      <c r="AP19" s="91"/>
      <c r="AQ19" s="93"/>
      <c r="AR19" s="91"/>
      <c r="AS19" s="93"/>
      <c r="AT19" s="91"/>
      <c r="AU19" s="93"/>
      <c r="AV19" s="91"/>
      <c r="AW19" s="93"/>
      <c r="AX19" s="91"/>
      <c r="AY19" s="93"/>
      <c r="AZ19" s="91"/>
      <c r="BA19" s="93"/>
      <c r="BB19" s="94"/>
      <c r="BC19" s="106"/>
    </row>
    <row r="20" spans="2:55" ht="21" customHeight="1" x14ac:dyDescent="0.2">
      <c r="B20" s="114" t="s">
        <v>41</v>
      </c>
      <c r="C20" s="107"/>
      <c r="D20" s="108"/>
      <c r="E20" s="109"/>
      <c r="F20" s="108"/>
      <c r="G20" s="109"/>
      <c r="H20" s="108"/>
      <c r="I20" s="109"/>
      <c r="J20" s="108"/>
      <c r="K20" s="109"/>
      <c r="L20" s="108"/>
      <c r="M20" s="109"/>
      <c r="N20" s="108"/>
      <c r="O20" s="109"/>
      <c r="P20" s="108"/>
      <c r="Q20" s="109"/>
      <c r="R20" s="108"/>
      <c r="S20" s="109"/>
      <c r="T20" s="108"/>
      <c r="U20" s="109"/>
      <c r="V20" s="108"/>
      <c r="W20" s="110"/>
      <c r="X20" s="108"/>
      <c r="Y20" s="110"/>
      <c r="Z20" s="108"/>
      <c r="AA20" s="110"/>
      <c r="AB20" s="108"/>
      <c r="AC20" s="110"/>
      <c r="AD20" s="108"/>
      <c r="AE20" s="110"/>
      <c r="AF20" s="108"/>
      <c r="AG20" s="110"/>
      <c r="AH20" s="108"/>
      <c r="AI20" s="110"/>
      <c r="AJ20" s="108"/>
      <c r="AK20" s="110"/>
      <c r="AL20" s="108"/>
      <c r="AM20" s="110"/>
      <c r="AN20" s="108"/>
      <c r="AO20" s="110"/>
      <c r="AP20" s="108"/>
      <c r="AQ20" s="110"/>
      <c r="AR20" s="108"/>
      <c r="AS20" s="110"/>
      <c r="AT20" s="108"/>
      <c r="AU20" s="110"/>
      <c r="AV20" s="108"/>
      <c r="AW20" s="110"/>
      <c r="AX20" s="108"/>
      <c r="AY20" s="110"/>
      <c r="AZ20" s="108"/>
      <c r="BA20" s="110"/>
      <c r="BB20" s="111"/>
      <c r="BC20" s="112"/>
    </row>
  </sheetData>
  <dataConsolidate/>
  <mergeCells count="9">
    <mergeCell ref="B12:D12"/>
    <mergeCell ref="BC14:BC15"/>
    <mergeCell ref="D16:I16"/>
    <mergeCell ref="B5:D5"/>
    <mergeCell ref="B6:D6"/>
    <mergeCell ref="B7:D7"/>
    <mergeCell ref="B8:D8"/>
    <mergeCell ref="B9:D9"/>
    <mergeCell ref="B11:D11"/>
  </mergeCells>
  <printOptions horizontalCentered="1"/>
  <pageMargins left="0.35" right="0.35" top="0.35" bottom="0.35" header="0.25" footer="0.25"/>
  <pageSetup scale="13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3"/>
  <sheetViews>
    <sheetView showGridLines="0" workbookViewId="0">
      <selection activeCell="B17" sqref="B17"/>
    </sheetView>
  </sheetViews>
  <sheetFormatPr defaultRowHeight="12.75" x14ac:dyDescent="0.2"/>
  <cols>
    <col min="1" max="1" width="3" style="39" customWidth="1"/>
    <col min="2" max="2" width="76" style="39" customWidth="1"/>
  </cols>
  <sheetData>
    <row r="1" spans="1:4" x14ac:dyDescent="0.2">
      <c r="A1" s="37"/>
      <c r="B1" s="37"/>
      <c r="C1" s="38"/>
    </row>
    <row r="2" spans="1:4" x14ac:dyDescent="0.2">
      <c r="A2" s="37"/>
      <c r="B2" s="37" t="s">
        <v>48</v>
      </c>
      <c r="C2" s="38"/>
      <c r="D2" t="str">
        <f>"'/" &amp;B2</f>
        <v>'/Private Sub mHostSheet_gotFocus(ByVal Wn As Window)</v>
      </c>
    </row>
    <row r="3" spans="1:4" x14ac:dyDescent="0.2">
      <c r="A3" s="37"/>
      <c r="B3" s="37" t="s">
        <v>49</v>
      </c>
      <c r="C3" s="38"/>
      <c r="D3" t="str">
        <f t="shared" ref="D3:D13" si="0">"'/" &amp;B3</f>
        <v>'/    Class_Initialize</v>
      </c>
    </row>
    <row r="4" spans="1:4" x14ac:dyDescent="0.2">
      <c r="A4" s="37"/>
      <c r="B4" s="37" t="s">
        <v>46</v>
      </c>
      <c r="C4" s="38"/>
      <c r="D4" t="str">
        <f t="shared" si="0"/>
        <v>'/End Sub</v>
      </c>
    </row>
    <row r="5" spans="1:4" x14ac:dyDescent="0.2">
      <c r="A5" s="37"/>
      <c r="B5" s="37"/>
      <c r="C5" s="38"/>
      <c r="D5" t="str">
        <f t="shared" si="0"/>
        <v>'/</v>
      </c>
    </row>
    <row r="6" spans="1:4" x14ac:dyDescent="0.2">
      <c r="A6" s="37"/>
      <c r="B6" s="37" t="s">
        <v>50</v>
      </c>
      <c r="C6" s="38"/>
      <c r="D6" t="str">
        <f t="shared" si="0"/>
        <v>'/Private Sub mHostSheet_lostFocus(Cancel As Boolean)</v>
      </c>
    </row>
    <row r="7" spans="1:4" x14ac:dyDescent="0.2">
      <c r="D7" t="str">
        <f t="shared" si="0"/>
        <v>'/</v>
      </c>
    </row>
    <row r="8" spans="1:4" x14ac:dyDescent="0.2">
      <c r="B8" s="39" t="s">
        <v>51</v>
      </c>
      <c r="D8" t="str">
        <f t="shared" si="0"/>
        <v>'/    Set mWinTimer = Nothing</v>
      </c>
    </row>
    <row r="9" spans="1:4" x14ac:dyDescent="0.2">
      <c r="B9" s="39" t="s">
        <v>52</v>
      </c>
      <c r="D9" t="str">
        <f t="shared" si="0"/>
        <v>'/    mHostSheet.ws = Nothing</v>
      </c>
    </row>
    <row r="10" spans="1:4" x14ac:dyDescent="0.2">
      <c r="B10" s="39" t="s">
        <v>47</v>
      </c>
      <c r="D10" t="str">
        <f t="shared" si="0"/>
        <v xml:space="preserve">'/    </v>
      </c>
    </row>
    <row r="11" spans="1:4" x14ac:dyDescent="0.2">
      <c r="B11" s="39" t="s">
        <v>46</v>
      </c>
      <c r="D11" t="str">
        <f t="shared" si="0"/>
        <v>'/End Sub</v>
      </c>
    </row>
    <row r="12" spans="1:4" x14ac:dyDescent="0.2">
      <c r="D12" t="str">
        <f t="shared" si="0"/>
        <v>'/</v>
      </c>
    </row>
    <row r="13" spans="1:4" x14ac:dyDescent="0.2">
      <c r="D13" t="str">
        <f t="shared" si="0"/>
        <v>'/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BD20"/>
  <sheetViews>
    <sheetView showGridLines="0" topLeftCell="A4" zoomScaleNormal="100" workbookViewId="0">
      <selection activeCell="T20" sqref="T20"/>
    </sheetView>
  </sheetViews>
  <sheetFormatPr defaultColWidth="3.85546875" defaultRowHeight="14.25" x14ac:dyDescent="0.2"/>
  <cols>
    <col min="1" max="1" width="3.5703125" style="1" customWidth="1"/>
    <col min="2" max="54" width="18.7109375" style="1" customWidth="1"/>
    <col min="55" max="55" width="23.140625" style="1" customWidth="1"/>
    <col min="56" max="16384" width="3.85546875" style="1"/>
  </cols>
  <sheetData>
    <row r="1" spans="1:56" ht="104.25" customHeight="1" x14ac:dyDescent="0.2">
      <c r="B1" s="123"/>
      <c r="C1" s="123"/>
      <c r="D1" s="123"/>
      <c r="E1" s="123"/>
      <c r="F1" s="123"/>
      <c r="G1" s="125" t="s">
        <v>20</v>
      </c>
      <c r="H1" s="123"/>
    </row>
    <row r="2" spans="1:56" ht="33.75" customHeight="1" x14ac:dyDescent="0.35">
      <c r="B2" s="126" t="s">
        <v>38</v>
      </c>
      <c r="C2" s="123"/>
      <c r="D2" s="123"/>
      <c r="E2" s="123"/>
      <c r="F2" s="123"/>
      <c r="G2" s="124"/>
      <c r="H2" s="127"/>
      <c r="BC2" s="33"/>
      <c r="BD2" s="4"/>
    </row>
    <row r="3" spans="1:56" ht="20.25" customHeight="1" x14ac:dyDescent="0.2">
      <c r="B3" s="128" t="s">
        <v>39</v>
      </c>
      <c r="C3" s="123"/>
      <c r="D3" s="123"/>
      <c r="E3" s="123"/>
      <c r="F3" s="123"/>
      <c r="G3" s="123"/>
      <c r="H3" s="123"/>
      <c r="BC3" s="33"/>
      <c r="BD3" s="4"/>
    </row>
    <row r="4" spans="1:56" ht="20.25" customHeight="1" x14ac:dyDescent="0.2">
      <c r="B4" s="84"/>
      <c r="BC4" s="33"/>
      <c r="BD4" s="4"/>
    </row>
    <row r="5" spans="1:56" ht="20.25" customHeight="1" x14ac:dyDescent="0.2">
      <c r="B5" s="144" t="s">
        <v>43</v>
      </c>
      <c r="C5" s="145"/>
      <c r="D5" s="146"/>
      <c r="BC5" s="33"/>
      <c r="BD5" s="4"/>
    </row>
    <row r="6" spans="1:56" ht="20.25" customHeight="1" x14ac:dyDescent="0.2">
      <c r="B6" s="144" t="s">
        <v>44</v>
      </c>
      <c r="C6" s="145"/>
      <c r="D6" s="146"/>
      <c r="BC6" s="33"/>
      <c r="BD6" s="4"/>
    </row>
    <row r="7" spans="1:56" ht="20.25" customHeight="1" x14ac:dyDescent="0.2">
      <c r="B7" s="144"/>
      <c r="C7" s="145"/>
      <c r="D7" s="146"/>
      <c r="BC7" s="33"/>
      <c r="BD7" s="4"/>
    </row>
    <row r="8" spans="1:56" ht="20.25" customHeight="1" x14ac:dyDescent="0.2">
      <c r="B8" s="144"/>
      <c r="C8" s="145"/>
      <c r="D8" s="146"/>
      <c r="BC8" s="33"/>
      <c r="BD8" s="4"/>
    </row>
    <row r="9" spans="1:56" ht="20.25" customHeight="1" x14ac:dyDescent="0.2">
      <c r="B9" s="144"/>
      <c r="C9" s="145"/>
      <c r="D9" s="146"/>
      <c r="BC9" s="33"/>
      <c r="BD9" s="4"/>
    </row>
    <row r="10" spans="1:56" ht="13.5" customHeight="1" x14ac:dyDescent="0.25">
      <c r="B10" s="30"/>
      <c r="K10" s="79"/>
    </row>
    <row r="11" spans="1:56" ht="21" customHeight="1" x14ac:dyDescent="0.2">
      <c r="B11" s="138" t="s">
        <v>21</v>
      </c>
      <c r="C11" s="139"/>
      <c r="D11" s="140"/>
      <c r="J11" s="80"/>
      <c r="K11" s="79"/>
      <c r="M11" s="81"/>
    </row>
    <row r="12" spans="1:56" ht="21" customHeight="1" x14ac:dyDescent="0.2">
      <c r="B12" s="141">
        <v>41856</v>
      </c>
      <c r="C12" s="142"/>
      <c r="D12" s="143"/>
      <c r="E12" s="121"/>
      <c r="F12" s="120"/>
      <c r="G12" s="120"/>
      <c r="H12" s="120"/>
      <c r="J12" s="80"/>
      <c r="K12" s="79"/>
      <c r="M12" s="81"/>
    </row>
    <row r="13" spans="1:56" x14ac:dyDescent="0.2">
      <c r="BC13" s="5"/>
      <c r="BD13" s="4"/>
    </row>
    <row r="14" spans="1:56" s="113" customFormat="1" ht="18" customHeight="1" x14ac:dyDescent="0.2">
      <c r="A14" s="130"/>
      <c r="B14" s="117" t="s">
        <v>18</v>
      </c>
      <c r="C14" s="118">
        <v>1</v>
      </c>
      <c r="D14" s="118">
        <v>2</v>
      </c>
      <c r="E14" s="118">
        <v>3</v>
      </c>
      <c r="F14" s="118">
        <v>4</v>
      </c>
      <c r="G14" s="118">
        <v>5</v>
      </c>
      <c r="H14" s="118">
        <v>6</v>
      </c>
      <c r="I14" s="118">
        <v>7</v>
      </c>
      <c r="J14" s="118">
        <v>8</v>
      </c>
      <c r="K14" s="118">
        <v>9</v>
      </c>
      <c r="L14" s="118">
        <v>10</v>
      </c>
      <c r="M14" s="118">
        <v>11</v>
      </c>
      <c r="N14" s="118">
        <v>12</v>
      </c>
      <c r="O14" s="118">
        <v>13</v>
      </c>
      <c r="P14" s="118">
        <v>14</v>
      </c>
      <c r="Q14" s="118">
        <v>15</v>
      </c>
      <c r="R14" s="118">
        <v>16</v>
      </c>
      <c r="S14" s="118">
        <v>17</v>
      </c>
      <c r="T14" s="118">
        <v>18</v>
      </c>
      <c r="U14" s="118">
        <v>19</v>
      </c>
      <c r="V14" s="118">
        <v>20</v>
      </c>
      <c r="W14" s="118">
        <v>21</v>
      </c>
      <c r="X14" s="118">
        <v>22</v>
      </c>
      <c r="Y14" s="118">
        <v>23</v>
      </c>
      <c r="Z14" s="118">
        <v>24</v>
      </c>
      <c r="AA14" s="118">
        <v>25</v>
      </c>
      <c r="AB14" s="118">
        <v>26</v>
      </c>
      <c r="AC14" s="118">
        <v>27</v>
      </c>
      <c r="AD14" s="118">
        <v>28</v>
      </c>
      <c r="AE14" s="118">
        <v>29</v>
      </c>
      <c r="AF14" s="118">
        <v>30</v>
      </c>
      <c r="AG14" s="118">
        <v>31</v>
      </c>
      <c r="AH14" s="118">
        <v>32</v>
      </c>
      <c r="AI14" s="118">
        <v>33</v>
      </c>
      <c r="AJ14" s="118">
        <v>34</v>
      </c>
      <c r="AK14" s="118">
        <v>35</v>
      </c>
      <c r="AL14" s="118">
        <v>36</v>
      </c>
      <c r="AM14" s="118">
        <v>37</v>
      </c>
      <c r="AN14" s="118">
        <v>38</v>
      </c>
      <c r="AO14" s="118">
        <v>39</v>
      </c>
      <c r="AP14" s="118">
        <v>40</v>
      </c>
      <c r="AQ14" s="118">
        <v>41</v>
      </c>
      <c r="AR14" s="118">
        <v>42</v>
      </c>
      <c r="AS14" s="118">
        <v>43</v>
      </c>
      <c r="AT14" s="118">
        <v>44</v>
      </c>
      <c r="AU14" s="118">
        <v>45</v>
      </c>
      <c r="AV14" s="118">
        <v>46</v>
      </c>
      <c r="AW14" s="118">
        <v>47</v>
      </c>
      <c r="AX14" s="118">
        <v>48</v>
      </c>
      <c r="AY14" s="118">
        <v>49</v>
      </c>
      <c r="AZ14" s="118">
        <v>50</v>
      </c>
      <c r="BA14" s="118">
        <v>51</v>
      </c>
      <c r="BB14" s="118">
        <v>52</v>
      </c>
      <c r="BC14" s="133" t="s">
        <v>19</v>
      </c>
    </row>
    <row r="15" spans="1:56" s="2" customFormat="1" ht="18" customHeight="1" x14ac:dyDescent="0.2">
      <c r="B15" s="115" t="s">
        <v>30</v>
      </c>
      <c r="C15" s="119" t="str">
        <f>TEXT(B12,"MMM")&amp;" "&amp;TEXT(B12,"D")</f>
        <v>Aug 5</v>
      </c>
      <c r="D15" s="116" t="str">
        <f>TEXT(B12+7,"MMM")&amp;" "&amp;TEXT(B12+7,"D")</f>
        <v>Aug 12</v>
      </c>
      <c r="E15" s="119" t="str">
        <f>TEXT(B12+14,"MMM")&amp;" "&amp;TEXT(B12+14,"D")</f>
        <v>Aug 19</v>
      </c>
      <c r="F15" s="116" t="str">
        <f>TEXT(B12+21,"MMM")&amp;" "&amp;TEXT(B12+21,"D")</f>
        <v>Aug 26</v>
      </c>
      <c r="G15" s="119" t="str">
        <f>TEXT(B12+28,"MMM")&amp;" "&amp;TEXT(B12+28,"D")</f>
        <v>Sep 2</v>
      </c>
      <c r="H15" s="116" t="str">
        <f>TEXT(B12+35,"MMM")&amp;" "&amp;TEXT(B12+35,"D")</f>
        <v>Sep 9</v>
      </c>
      <c r="I15" s="119" t="str">
        <f>TEXT(B12+42,"MMM")&amp;" "&amp;TEXT(B12+42,"D")</f>
        <v>Sep 16</v>
      </c>
      <c r="J15" s="116" t="str">
        <f>TEXT(B12+49,"MMM")&amp;" "&amp;TEXT(B12+49,"D")</f>
        <v>Sep 23</v>
      </c>
      <c r="K15" s="119" t="str">
        <f>TEXT(B12+56,"MMM")&amp;" "&amp;TEXT(B12+56,"D")</f>
        <v>Sep 30</v>
      </c>
      <c r="L15" s="116" t="str">
        <f>TEXT(B12+63,"MMM")&amp;" "&amp;TEXT(B12+63,"D")</f>
        <v>Oct 7</v>
      </c>
      <c r="M15" s="119" t="str">
        <f>TEXT(B12+70,"MMM")&amp;" "&amp;TEXT(B12+70,"D")</f>
        <v>Oct 14</v>
      </c>
      <c r="N15" s="116" t="str">
        <f>TEXT(B12+77,"MMM")&amp;" "&amp;TEXT(B12+77,"D")</f>
        <v>Oct 21</v>
      </c>
      <c r="O15" s="119" t="str">
        <f>TEXT(B12+84,"MMM")&amp;" "&amp;TEXT(B12+84,"D")</f>
        <v>Oct 28</v>
      </c>
      <c r="P15" s="116" t="str">
        <f>TEXT(B12+91,"MMM")&amp;" "&amp;TEXT(B12+91,"D")</f>
        <v>Nov 4</v>
      </c>
      <c r="Q15" s="119" t="str">
        <f>TEXT(B12+98,"MMM")&amp;" "&amp;TEXT(B12+98,"D")</f>
        <v>Nov 11</v>
      </c>
      <c r="R15" s="122" t="str">
        <f>TEXT(B12+105,"MMM")&amp;" "&amp;TEXT(B12+105,"D")</f>
        <v>Nov 18</v>
      </c>
      <c r="S15" s="119" t="str">
        <f>TEXT(B12+112,"MMM")&amp;" "&amp;TEXT(B12+112,"D")</f>
        <v>Nov 25</v>
      </c>
      <c r="T15" s="122" t="str">
        <f>TEXT(B12+119,"MMM")&amp;" "&amp;TEXT(B12+119,"D")</f>
        <v>Dec 2</v>
      </c>
      <c r="U15" s="119" t="str">
        <f>TEXT(B12+126,"MMM")&amp;" "&amp;TEXT(B12+126,"D")</f>
        <v>Dec 9</v>
      </c>
      <c r="V15" s="122" t="str">
        <f>TEXT(B12+133,"MMM")&amp;" "&amp;TEXT(B12+133,"D")</f>
        <v>Dec 16</v>
      </c>
      <c r="W15" s="119" t="str">
        <f>TEXT(B12+140,"MMM")&amp;" "&amp;TEXT(B12+140,"D")</f>
        <v>Dec 23</v>
      </c>
      <c r="X15" s="122" t="str">
        <f>TEXT(B12+147,"MMM")&amp;" "&amp;TEXT(B12+147,"D")</f>
        <v>Dec 30</v>
      </c>
      <c r="Y15" s="119" t="str">
        <f>TEXT(B12+154,"MMM")&amp;" "&amp;TEXT(B12+154,"D")</f>
        <v>Jan 6</v>
      </c>
      <c r="Z15" s="122" t="str">
        <f>TEXT(B12+161,"MMM")&amp;" "&amp;TEXT(B12+161,"D")</f>
        <v>Jan 13</v>
      </c>
      <c r="AA15" s="119" t="str">
        <f>TEXT(B12+168,"MMM")&amp;" "&amp;TEXT(B12+168,"D")</f>
        <v>Jan 20</v>
      </c>
      <c r="AB15" s="122" t="str">
        <f>TEXT(B12+175,"MMM")&amp;" "&amp;TEXT(B12+175,"D")</f>
        <v>Jan 27</v>
      </c>
      <c r="AC15" s="119" t="str">
        <f>TEXT(B12+182,"MMM")&amp;" "&amp;TEXT(B12+182,"D")</f>
        <v>Feb 3</v>
      </c>
      <c r="AD15" s="122" t="str">
        <f>TEXT(B12+189,"MMM")&amp;" "&amp;TEXT(B12+189,"D")</f>
        <v>Feb 10</v>
      </c>
      <c r="AE15" s="119" t="str">
        <f>TEXT(B12+196,"MMM")&amp;" "&amp;TEXT(B12+196,"D")</f>
        <v>Feb 17</v>
      </c>
      <c r="AF15" s="122" t="str">
        <f>TEXT(B12+203,"MMM")&amp;" "&amp;TEXT(B12+203,"D")</f>
        <v>Feb 24</v>
      </c>
      <c r="AG15" s="119" t="str">
        <f>TEXT(B12+210,"MMM")&amp;" "&amp;TEXT(B12+210,"D")</f>
        <v>Mar 3</v>
      </c>
      <c r="AH15" s="122" t="str">
        <f>TEXT(B12+217,"MMM")&amp;" "&amp;TEXT(B12+217,"D")</f>
        <v>Mar 10</v>
      </c>
      <c r="AI15" s="119" t="str">
        <f>TEXT(B12+224,"MMM")&amp;" "&amp;TEXT(B12+224,"D")</f>
        <v>Mar 17</v>
      </c>
      <c r="AJ15" s="122" t="str">
        <f>TEXT(B12+231,"MMM")&amp;" "&amp;TEXT(B12+231,"D")</f>
        <v>Mar 24</v>
      </c>
      <c r="AK15" s="119" t="str">
        <f>TEXT(B12+238,"MMM")&amp;" "&amp;TEXT(B12+238,"D")</f>
        <v>Mar 31</v>
      </c>
      <c r="AL15" s="122" t="str">
        <f>TEXT(B12+245,"MMM")&amp;" "&amp;TEXT(B12+245,"D")</f>
        <v>Apr 7</v>
      </c>
      <c r="AM15" s="119" t="str">
        <f>TEXT(B12+252,"MMM")&amp;" "&amp;TEXT(B12+252,"D")</f>
        <v>Apr 14</v>
      </c>
      <c r="AN15" s="122" t="str">
        <f>TEXT(B12+259,"MMM")&amp;" "&amp;TEXT(B12+259,"D")</f>
        <v>Apr 21</v>
      </c>
      <c r="AO15" s="119" t="str">
        <f>TEXT(B12+266,"MMM")&amp;" "&amp;TEXT(B12+266,"D")</f>
        <v>Apr 28</v>
      </c>
      <c r="AP15" s="122" t="str">
        <f>TEXT(B12+273,"MMM")&amp;" "&amp;TEXT(B12+273,"D")</f>
        <v>May 5</v>
      </c>
      <c r="AQ15" s="119" t="str">
        <f>TEXT(B12+280,"MMM")&amp;" "&amp;TEXT(B12+280,"D")</f>
        <v>May 12</v>
      </c>
      <c r="AR15" s="122" t="str">
        <f>TEXT(B12+287,"MMM")&amp;" "&amp;TEXT(B12+287,"D")</f>
        <v>May 19</v>
      </c>
      <c r="AS15" s="119" t="str">
        <f>TEXT(B12+294,"MMM")&amp;" "&amp;TEXT(B12+294,"D")</f>
        <v>May 26</v>
      </c>
      <c r="AT15" s="122" t="str">
        <f>TEXT(B12+301,"MMM")&amp;" "&amp;TEXT(B12+301,"D")</f>
        <v>Jun 2</v>
      </c>
      <c r="AU15" s="119" t="str">
        <f>TEXT(B12+308,"MMM")&amp;" "&amp;TEXT(B12+308,"D")</f>
        <v>Jun 9</v>
      </c>
      <c r="AV15" s="122" t="str">
        <f>TEXT(B12+315,"MMM")&amp;" "&amp;TEXT(B12+315,"D")</f>
        <v>Jun 16</v>
      </c>
      <c r="AW15" s="119" t="str">
        <f>TEXT(B12+322,"MMM")&amp;" "&amp;TEXT(B12+322,"D")</f>
        <v>Jun 23</v>
      </c>
      <c r="AX15" s="122" t="str">
        <f>TEXT(B12+329,"MMM")&amp;" "&amp;TEXT(B12+329,"D")</f>
        <v>Jun 30</v>
      </c>
      <c r="AY15" s="119" t="str">
        <f>TEXT(B12+336,"MMM")&amp;" "&amp;TEXT(B12+336,"D")</f>
        <v>Jul 7</v>
      </c>
      <c r="AZ15" s="122" t="str">
        <f>TEXT(B12+343,"MMM")&amp;" "&amp;TEXT(B12+343,"D")</f>
        <v>Jul 14</v>
      </c>
      <c r="BA15" s="119" t="str">
        <f>TEXT(B12+350,"MMM")&amp;" "&amp;TEXT(B12+350,"D")</f>
        <v>Jul 21</v>
      </c>
      <c r="BB15" s="122" t="str">
        <f>TEXT(B12+357,"MMM")&amp;" "&amp;TEXT(B12+357,"D")</f>
        <v>Jul 28</v>
      </c>
      <c r="BC15" s="134"/>
    </row>
    <row r="16" spans="1:56" ht="36.75" customHeight="1" x14ac:dyDescent="0.2">
      <c r="B16" s="102" t="s">
        <v>35</v>
      </c>
      <c r="C16" s="85"/>
      <c r="D16" s="135" t="s">
        <v>42</v>
      </c>
      <c r="E16" s="136"/>
      <c r="F16" s="136"/>
      <c r="G16" s="136"/>
      <c r="H16" s="136"/>
      <c r="I16" s="137"/>
      <c r="J16" s="86"/>
      <c r="K16" s="87"/>
      <c r="L16" s="86"/>
      <c r="M16" s="87"/>
      <c r="N16" s="83" t="s">
        <v>34</v>
      </c>
      <c r="O16" s="82"/>
      <c r="P16" s="83"/>
      <c r="Q16" s="87" t="s">
        <v>34</v>
      </c>
      <c r="R16" s="86"/>
      <c r="S16" s="87"/>
      <c r="T16" s="86"/>
      <c r="U16" s="87"/>
      <c r="V16" s="86"/>
      <c r="W16" s="88"/>
      <c r="X16" s="86"/>
      <c r="Y16" s="88"/>
      <c r="Z16" s="86"/>
      <c r="AA16" s="88"/>
      <c r="AB16" s="86"/>
      <c r="AC16" s="88"/>
      <c r="AD16" s="86"/>
      <c r="AE16" s="88"/>
      <c r="AF16" s="86"/>
      <c r="AG16" s="88"/>
      <c r="AH16" s="86"/>
      <c r="AI16" s="88"/>
      <c r="AJ16" s="86"/>
      <c r="AK16" s="88"/>
      <c r="AL16" s="86"/>
      <c r="AM16" s="88"/>
      <c r="AN16" s="86"/>
      <c r="AO16" s="88"/>
      <c r="AP16" s="86"/>
      <c r="AQ16" s="88"/>
      <c r="AR16" s="86"/>
      <c r="AS16" s="88"/>
      <c r="AT16" s="86"/>
      <c r="AU16" s="88"/>
      <c r="AV16" s="86"/>
      <c r="AW16" s="88"/>
      <c r="AX16" s="86"/>
      <c r="AY16" s="88"/>
      <c r="AZ16" s="86"/>
      <c r="BA16" s="88"/>
      <c r="BB16" s="86"/>
      <c r="BC16" s="89"/>
    </row>
    <row r="17" spans="2:55" ht="21" customHeight="1" x14ac:dyDescent="0.2">
      <c r="B17" s="103" t="s">
        <v>36</v>
      </c>
      <c r="C17" s="100"/>
      <c r="D17" s="86"/>
      <c r="E17" s="87"/>
      <c r="F17" s="86"/>
      <c r="G17" s="87"/>
      <c r="H17" s="86"/>
      <c r="I17" s="87"/>
      <c r="J17" s="86"/>
      <c r="K17" s="87"/>
      <c r="L17" s="86"/>
      <c r="M17" s="87"/>
      <c r="N17" s="86"/>
      <c r="O17" s="87"/>
      <c r="P17" s="86"/>
      <c r="Q17" s="87"/>
      <c r="R17" s="86"/>
      <c r="S17" s="87"/>
      <c r="T17" s="86"/>
      <c r="U17" s="87"/>
      <c r="V17" s="86"/>
      <c r="W17" s="88"/>
      <c r="X17" s="86"/>
      <c r="Y17" s="88"/>
      <c r="Z17" s="86"/>
      <c r="AA17" s="88"/>
      <c r="AB17" s="86"/>
      <c r="AC17" s="88"/>
      <c r="AD17" s="86"/>
      <c r="AE17" s="88"/>
      <c r="AF17" s="86"/>
      <c r="AG17" s="88"/>
      <c r="AH17" s="86"/>
      <c r="AI17" s="88"/>
      <c r="AJ17" s="86"/>
      <c r="AK17" s="88"/>
      <c r="AL17" s="86"/>
      <c r="AM17" s="88"/>
      <c r="AN17" s="86"/>
      <c r="AO17" s="88"/>
      <c r="AP17" s="86"/>
      <c r="AQ17" s="88"/>
      <c r="AR17" s="86"/>
      <c r="AS17" s="88"/>
      <c r="AT17" s="86"/>
      <c r="AU17" s="88"/>
      <c r="AV17" s="86"/>
      <c r="AW17" s="88"/>
      <c r="AX17" s="86"/>
      <c r="AY17" s="88"/>
      <c r="AZ17" s="86"/>
      <c r="BA17" s="88"/>
      <c r="BB17" s="101"/>
      <c r="BC17" s="89"/>
    </row>
    <row r="18" spans="2:55" ht="21" customHeight="1" x14ac:dyDescent="0.2">
      <c r="B18" s="104" t="s">
        <v>37</v>
      </c>
      <c r="C18" s="95"/>
      <c r="D18" s="96"/>
      <c r="E18" s="97"/>
      <c r="F18" s="96"/>
      <c r="G18" s="97"/>
      <c r="H18" s="96"/>
      <c r="I18" s="97"/>
      <c r="J18" s="96"/>
      <c r="K18" s="97"/>
      <c r="L18" s="96"/>
      <c r="M18" s="97"/>
      <c r="N18" s="96"/>
      <c r="O18" s="97"/>
      <c r="P18" s="96"/>
      <c r="Q18" s="97"/>
      <c r="R18" s="96"/>
      <c r="S18" s="97"/>
      <c r="T18" s="96"/>
      <c r="U18" s="97"/>
      <c r="V18" s="96"/>
      <c r="W18" s="98"/>
      <c r="X18" s="96"/>
      <c r="Y18" s="98"/>
      <c r="Z18" s="96"/>
      <c r="AA18" s="98"/>
      <c r="AB18" s="96"/>
      <c r="AC18" s="98"/>
      <c r="AD18" s="96"/>
      <c r="AE18" s="98"/>
      <c r="AF18" s="96"/>
      <c r="AG18" s="98"/>
      <c r="AH18" s="96"/>
      <c r="AI18" s="98"/>
      <c r="AJ18" s="96"/>
      <c r="AK18" s="98"/>
      <c r="AL18" s="96"/>
      <c r="AM18" s="98"/>
      <c r="AN18" s="96"/>
      <c r="AO18" s="98"/>
      <c r="AP18" s="96"/>
      <c r="AQ18" s="98"/>
      <c r="AR18" s="96"/>
      <c r="AS18" s="98"/>
      <c r="AT18" s="96"/>
      <c r="AU18" s="98"/>
      <c r="AV18" s="96"/>
      <c r="AW18" s="98"/>
      <c r="AX18" s="96"/>
      <c r="AY18" s="98"/>
      <c r="AZ18" s="96"/>
      <c r="BA18" s="98"/>
      <c r="BB18" s="99"/>
      <c r="BC18" s="89"/>
    </row>
    <row r="19" spans="2:55" ht="21" customHeight="1" x14ac:dyDescent="0.2">
      <c r="B19" s="105" t="s">
        <v>40</v>
      </c>
      <c r="C19" s="90"/>
      <c r="D19" s="91"/>
      <c r="E19" s="92"/>
      <c r="F19" s="91"/>
      <c r="G19" s="92"/>
      <c r="H19" s="91"/>
      <c r="I19" s="92"/>
      <c r="J19" s="91"/>
      <c r="K19" s="92"/>
      <c r="L19" s="91"/>
      <c r="M19" s="92"/>
      <c r="N19" s="91"/>
      <c r="O19" s="92"/>
      <c r="P19" s="91"/>
      <c r="Q19" s="92"/>
      <c r="R19" s="91"/>
      <c r="S19" s="92"/>
      <c r="T19" s="91"/>
      <c r="U19" s="92"/>
      <c r="V19" s="91"/>
      <c r="W19" s="93"/>
      <c r="X19" s="91"/>
      <c r="Y19" s="93"/>
      <c r="Z19" s="91"/>
      <c r="AA19" s="93"/>
      <c r="AB19" s="91"/>
      <c r="AC19" s="93"/>
      <c r="AD19" s="91"/>
      <c r="AE19" s="93"/>
      <c r="AF19" s="91"/>
      <c r="AG19" s="93"/>
      <c r="AH19" s="91"/>
      <c r="AI19" s="93"/>
      <c r="AJ19" s="91"/>
      <c r="AK19" s="93"/>
      <c r="AL19" s="91"/>
      <c r="AM19" s="93"/>
      <c r="AN19" s="91"/>
      <c r="AO19" s="93"/>
      <c r="AP19" s="91"/>
      <c r="AQ19" s="93"/>
      <c r="AR19" s="91"/>
      <c r="AS19" s="93"/>
      <c r="AT19" s="91"/>
      <c r="AU19" s="93"/>
      <c r="AV19" s="91"/>
      <c r="AW19" s="93"/>
      <c r="AX19" s="91"/>
      <c r="AY19" s="93"/>
      <c r="AZ19" s="91"/>
      <c r="BA19" s="93"/>
      <c r="BB19" s="94"/>
      <c r="BC19" s="106"/>
    </row>
    <row r="20" spans="2:55" ht="21" customHeight="1" x14ac:dyDescent="0.2">
      <c r="B20" s="114" t="s">
        <v>41</v>
      </c>
      <c r="C20" s="107"/>
      <c r="D20" s="108"/>
      <c r="E20" s="109"/>
      <c r="F20" s="108"/>
      <c r="G20" s="109"/>
      <c r="H20" s="108"/>
      <c r="I20" s="109"/>
      <c r="J20" s="108"/>
      <c r="K20" s="109"/>
      <c r="L20" s="108"/>
      <c r="M20" s="109"/>
      <c r="N20" s="108"/>
      <c r="O20" s="109"/>
      <c r="P20" s="108"/>
      <c r="Q20" s="109"/>
      <c r="R20" s="108"/>
      <c r="S20" s="109"/>
      <c r="T20" s="108"/>
      <c r="U20" s="109"/>
      <c r="V20" s="108"/>
      <c r="W20" s="110"/>
      <c r="X20" s="108"/>
      <c r="Y20" s="110"/>
      <c r="Z20" s="108"/>
      <c r="AA20" s="110"/>
      <c r="AB20" s="108"/>
      <c r="AC20" s="110"/>
      <c r="AD20" s="108"/>
      <c r="AE20" s="110"/>
      <c r="AF20" s="108"/>
      <c r="AG20" s="110"/>
      <c r="AH20" s="108"/>
      <c r="AI20" s="110"/>
      <c r="AJ20" s="108"/>
      <c r="AK20" s="110"/>
      <c r="AL20" s="108"/>
      <c r="AM20" s="110"/>
      <c r="AN20" s="108"/>
      <c r="AO20" s="110"/>
      <c r="AP20" s="108"/>
      <c r="AQ20" s="110"/>
      <c r="AR20" s="108"/>
      <c r="AS20" s="110"/>
      <c r="AT20" s="108"/>
      <c r="AU20" s="110"/>
      <c r="AV20" s="108"/>
      <c r="AW20" s="110"/>
      <c r="AX20" s="108"/>
      <c r="AY20" s="110"/>
      <c r="AZ20" s="108"/>
      <c r="BA20" s="110"/>
      <c r="BB20" s="111"/>
      <c r="BC20" s="112"/>
    </row>
  </sheetData>
  <dataConsolidate/>
  <mergeCells count="9">
    <mergeCell ref="B12:D12"/>
    <mergeCell ref="BC14:BC15"/>
    <mergeCell ref="D16:I16"/>
    <mergeCell ref="B5:D5"/>
    <mergeCell ref="B6:D6"/>
    <mergeCell ref="B7:D7"/>
    <mergeCell ref="B8:D8"/>
    <mergeCell ref="B9:D9"/>
    <mergeCell ref="B11:D11"/>
  </mergeCells>
  <printOptions horizontalCentered="1"/>
  <pageMargins left="0.35" right="0.35" top="0.35" bottom="0.35" header="0.25" footer="0.25"/>
  <pageSetup scale="13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H19"/>
  <sheetViews>
    <sheetView tabSelected="1" topLeftCell="A4" workbookViewId="0">
      <selection activeCell="C16" sqref="C16"/>
    </sheetView>
  </sheetViews>
  <sheetFormatPr defaultRowHeight="12.75" x14ac:dyDescent="0.2"/>
  <cols>
    <col min="1" max="1" width="36.5703125" bestFit="1" customWidth="1"/>
    <col min="2" max="6" width="3.28515625" bestFit="1" customWidth="1"/>
    <col min="7" max="7" width="16" bestFit="1" customWidth="1"/>
    <col min="8" max="8" width="47.7109375" bestFit="1" customWidth="1"/>
  </cols>
  <sheetData>
    <row r="3" spans="1:8" ht="15" x14ac:dyDescent="0.2">
      <c r="A3" s="132" t="s">
        <v>60</v>
      </c>
    </row>
    <row r="4" spans="1:8" ht="15" x14ac:dyDescent="0.2">
      <c r="A4" s="132" t="s">
        <v>53</v>
      </c>
    </row>
    <row r="5" spans="1:8" ht="15" x14ac:dyDescent="0.2">
      <c r="A5" s="132" t="s">
        <v>54</v>
      </c>
    </row>
    <row r="6" spans="1:8" ht="15" x14ac:dyDescent="0.2">
      <c r="A6" s="132" t="s">
        <v>55</v>
      </c>
    </row>
    <row r="7" spans="1:8" ht="15" x14ac:dyDescent="0.2">
      <c r="A7" s="132" t="s">
        <v>56</v>
      </c>
    </row>
    <row r="8" spans="1:8" ht="15" x14ac:dyDescent="0.2">
      <c r="A8" s="132" t="s">
        <v>57</v>
      </c>
      <c r="B8" s="158" t="s">
        <v>58</v>
      </c>
      <c r="C8" s="158"/>
      <c r="D8" s="158" t="s">
        <v>59</v>
      </c>
      <c r="E8" s="158"/>
      <c r="F8" s="158"/>
      <c r="G8" s="39" t="s">
        <v>61</v>
      </c>
      <c r="H8" s="39" t="s">
        <v>62</v>
      </c>
    </row>
    <row r="9" spans="1:8" ht="40.5" x14ac:dyDescent="0.2">
      <c r="B9" s="159" t="s">
        <v>74</v>
      </c>
      <c r="C9" s="159" t="s">
        <v>75</v>
      </c>
      <c r="D9" s="159" t="s">
        <v>71</v>
      </c>
      <c r="E9" s="159" t="s">
        <v>72</v>
      </c>
      <c r="F9" s="159" t="s">
        <v>74</v>
      </c>
    </row>
    <row r="10" spans="1:8" ht="15" x14ac:dyDescent="0.2">
      <c r="A10" s="132" t="s">
        <v>76</v>
      </c>
      <c r="B10" s="39" t="s">
        <v>73</v>
      </c>
      <c r="C10" s="39"/>
      <c r="D10" s="39" t="s">
        <v>73</v>
      </c>
      <c r="E10" s="39"/>
      <c r="F10" s="39"/>
      <c r="G10" s="39" t="s">
        <v>66</v>
      </c>
      <c r="H10" s="39" t="s">
        <v>67</v>
      </c>
    </row>
    <row r="11" spans="1:8" ht="15" x14ac:dyDescent="0.2">
      <c r="A11" s="132" t="s">
        <v>78</v>
      </c>
      <c r="B11" s="39"/>
      <c r="C11" s="39" t="s">
        <v>73</v>
      </c>
      <c r="D11" s="39"/>
      <c r="E11" s="39" t="s">
        <v>73</v>
      </c>
      <c r="F11" s="39"/>
      <c r="H11" s="39" t="s">
        <v>68</v>
      </c>
    </row>
    <row r="12" spans="1:8" x14ac:dyDescent="0.2">
      <c r="B12" s="39" t="s">
        <v>73</v>
      </c>
      <c r="C12" s="39"/>
      <c r="F12" s="39" t="s">
        <v>73</v>
      </c>
      <c r="G12" s="39" t="s">
        <v>69</v>
      </c>
      <c r="H12" s="39" t="s">
        <v>69</v>
      </c>
    </row>
    <row r="13" spans="1:8" x14ac:dyDescent="0.2">
      <c r="A13" s="39" t="s">
        <v>77</v>
      </c>
      <c r="B13" s="39"/>
      <c r="C13" s="39" t="s">
        <v>73</v>
      </c>
      <c r="D13" s="39" t="s">
        <v>73</v>
      </c>
      <c r="E13" s="39"/>
      <c r="F13" s="39"/>
      <c r="G13" t="s">
        <v>59</v>
      </c>
      <c r="H13" s="39" t="s">
        <v>70</v>
      </c>
    </row>
    <row r="16" spans="1:8" ht="15" x14ac:dyDescent="0.2">
      <c r="A16" s="132" t="s">
        <v>63</v>
      </c>
    </row>
    <row r="17" spans="1:1" ht="15" x14ac:dyDescent="0.2">
      <c r="A17" s="132" t="s">
        <v>64</v>
      </c>
    </row>
    <row r="18" spans="1:1" ht="15" x14ac:dyDescent="0.2">
      <c r="A18" s="132" t="s">
        <v>65</v>
      </c>
    </row>
    <row r="19" spans="1:1" ht="15" x14ac:dyDescent="0.2">
      <c r="A19" s="132" t="s">
        <v>57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18</vt:i4>
      </vt:variant>
    </vt:vector>
  </HeadingPairs>
  <TitlesOfParts>
    <vt:vector size="25" baseType="lpstr">
      <vt:lpstr>Week</vt:lpstr>
      <vt:lpstr>Month</vt:lpstr>
      <vt:lpstr>Sample</vt:lpstr>
      <vt:lpstr>Week (2)</vt:lpstr>
      <vt:lpstr>©</vt:lpstr>
      <vt:lpstr>Week (3)</vt:lpstr>
      <vt:lpstr>setTimer</vt:lpstr>
      <vt:lpstr>Blink</vt:lpstr>
      <vt:lpstr>colHDR</vt:lpstr>
      <vt:lpstr>'Week (2)'!colsHDRRange</vt:lpstr>
      <vt:lpstr>'Week (3)'!colsHDRRange</vt:lpstr>
      <vt:lpstr>colsHDRRange</vt:lpstr>
      <vt:lpstr>Month!Print_Area</vt:lpstr>
      <vt:lpstr>Sample!Print_Area</vt:lpstr>
      <vt:lpstr>Week!Print_Area</vt:lpstr>
      <vt:lpstr>'Week (2)'!Print_Area</vt:lpstr>
      <vt:lpstr>'Week (3)'!Print_Area</vt:lpstr>
      <vt:lpstr>Month!Print_Titles</vt:lpstr>
      <vt:lpstr>Sample!Print_Titles</vt:lpstr>
      <vt:lpstr>Week!Print_Titles</vt:lpstr>
      <vt:lpstr>'Week (2)'!Print_Titles</vt:lpstr>
      <vt:lpstr>'Week (3)'!Print_Titles</vt:lpstr>
      <vt:lpstr>'Week (2)'!rowsHDRRange</vt:lpstr>
      <vt:lpstr>'Week (3)'!rowsHDRRange</vt:lpstr>
      <vt:lpstr>rowsHDRRange</vt:lpstr>
    </vt:vector>
  </TitlesOfParts>
  <Company>Vertex42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Schedule Template</dc:title>
  <dc:creator>Vertex42.com</dc:creator>
  <dc:description>(c) 2014 Vertex42 LLC. All Rights Reserved.</dc:description>
  <cp:lastModifiedBy>Robert</cp:lastModifiedBy>
  <cp:lastPrinted>2014-05-19T18:32:25Z</cp:lastPrinted>
  <dcterms:created xsi:type="dcterms:W3CDTF">2010-06-09T16:05:03Z</dcterms:created>
  <dcterms:modified xsi:type="dcterms:W3CDTF">2014-07-28T04:21:27Z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2014 Vertex42 LLC</vt:lpwstr>
  </property>
  <property fmtid="{D5CDD505-2E9C-101B-9397-08002B2CF9AE}" pid="3" name="Version">
    <vt:lpwstr>1.0.0</vt:lpwstr>
  </property>
</Properties>
</file>